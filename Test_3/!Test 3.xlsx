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203" documentId="118_{ABB8CC36-1F08-495F-A96C-57758C63DCEC}" xr6:coauthVersionLast="47" xr6:coauthVersionMax="47" xr10:uidLastSave="{8FB90365-64DA-45DC-9F78-6DDBB3B6FE54}"/>
  <bookViews>
    <workbookView xWindow="-98" yWindow="-98" windowWidth="28996" windowHeight="15675" xr2:uid="{00000000-000D-0000-FFFF-FFFF00000000}"/>
  </bookViews>
  <sheets>
    <sheet name="Test 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 a="1"/>
  <c r="M17" i="1" s="1"/>
  <c r="L17" i="1" a="1"/>
  <c r="L17" i="1" s="1"/>
  <c r="K17" i="1" a="1"/>
  <c r="K17" i="1" s="1"/>
  <c r="J17" i="1" a="1"/>
  <c r="J17" i="1" s="1"/>
  <c r="I17" i="1" a="1"/>
  <c r="I17" i="1" s="1"/>
  <c r="H17" i="1" a="1"/>
  <c r="H17" i="1" s="1"/>
  <c r="G17" i="1" a="1"/>
  <c r="G17" i="1" s="1"/>
  <c r="F17" i="1" a="1"/>
  <c r="F17" i="1" s="1"/>
  <c r="E17" i="1" a="1"/>
  <c r="E17" i="1" s="1"/>
  <c r="D17" i="1" a="1"/>
  <c r="D17" i="1" s="1"/>
  <c r="B17" i="1"/>
  <c r="N2" i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C17" i="1"/>
  <c r="N1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<sst xmlns="http://schemas.openxmlformats.org/spreadsheetml/2006/main" count="52" uniqueCount="51">
  <si>
    <t>Score</t>
  </si>
  <si>
    <t>Description</t>
  </si>
  <si>
    <t>bhagams4063</t>
  </si>
  <si>
    <t>dahiyav6175</t>
  </si>
  <si>
    <t>janumalas4078</t>
  </si>
  <si>
    <t>karuturim2445</t>
  </si>
  <si>
    <t>sirasanambeth2444</t>
  </si>
  <si>
    <t>somepallik7697</t>
  </si>
  <si>
    <t>sotomayorj1594</t>
  </si>
  <si>
    <t>tanuboddys9697</t>
  </si>
  <si>
    <t>uppalh8095</t>
  </si>
  <si>
    <t>vemuriu6191</t>
  </si>
  <si>
    <t>(MEAN)</t>
  </si>
  <si>
    <t>A1</t>
  </si>
  <si>
    <t>Create a console application that prompts the user to enter two numbers: a)    Integer (can be positive or negative) and b)    Base-N (must be positive)</t>
  </si>
  <si>
    <t>A2</t>
  </si>
  <si>
    <t>The app should iteratively ensure that the base-N entered is positive, i.e., re-prompt if a negative or zero is entered.</t>
  </si>
  <si>
    <t>A3</t>
  </si>
  <si>
    <t>The app should break down the given integer into base-N digits by repeatedly fetching the remainders as Base-N digits and dividing the integer by N.</t>
  </si>
  <si>
    <t>A4</t>
  </si>
  <si>
    <t>Then, the app then calculates and displays the sum of all these Base-N digits.</t>
  </si>
  <si>
    <t>A5</t>
  </si>
  <si>
    <t xml:space="preserve">The app also determines the largest Base-N digit </t>
  </si>
  <si>
    <t>B1</t>
  </si>
  <si>
    <t>Create and test a method that accepts an array.</t>
  </si>
  <si>
    <t>B2</t>
  </si>
  <si>
    <t>The method returns the count array with the same length as the original array.</t>
  </si>
  <si>
    <t>B3</t>
  </si>
  <si>
    <t>In a nested loop, the method then counts the number of insertions necessary for each element and store them into the count array.</t>
  </si>
  <si>
    <t>B4</t>
  </si>
  <si>
    <t>Implement it in O(n^2) time without fully implementing the insertion sort algorithm.</t>
  </si>
  <si>
    <t>C1</t>
  </si>
  <si>
    <t>Create and test a method that accepts an array as input.</t>
  </si>
  <si>
    <t>C2</t>
  </si>
  <si>
    <t>The method should then count the occurrence of each number in the array and store them into a dictionary.</t>
  </si>
  <si>
    <t>C3</t>
  </si>
  <si>
    <t>Next, the method iterates through the dictionary to identify all the largest numbers for different frequencies.</t>
  </si>
  <si>
    <t>C4</t>
  </si>
  <si>
    <t>Finally, it should sum up all the products of these values with their corresponding frequencies to determine the “sum of all the largest numbers repeated in every different frequency.”</t>
  </si>
  <si>
    <t>C5</t>
  </si>
  <si>
    <t>Return 0 when the input is array is invalid (i.e., null).</t>
  </si>
  <si>
    <t>C6</t>
  </si>
  <si>
    <t>To achieve O(n) time complexity, we can use two dictionaries: one for counting the occurrences and another for tracking the largest value for different frequencies</t>
  </si>
  <si>
    <t>Total</t>
  </si>
  <si>
    <t>0.75 divided by b, not 10.</t>
  </si>
  <si>
    <t>0.75 you do not need to copy the entire array into the count; it should be initialized to all zeros; nor iterating through it.</t>
  </si>
  <si>
    <t>0.75 returning all zeros: does absolutely nothing.</t>
  </si>
  <si>
    <t>0 inconsistent with insertion sort - not sure what you are writing.</t>
  </si>
  <si>
    <t>0.25 code does nothing.</t>
  </si>
  <si>
    <t>0 ignored.</t>
  </si>
  <si>
    <t>Final Exam (207548)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</si>
</sst>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</cellXfs>
  <cellStyles count="1">
    <cellStyle name="Normal" xfId="0" builtinId="0"/>
  </cellStyles>
  <dxfs count="12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3" displayName="Test_3" ref="A1:N17" totalsRowCount="1">
  <autoFilter ref="A1:N16" xr:uid="{00000000-0009-0000-0100-000001000000}">
    <filterColumn colId="13" hiddenButton="1"/>
  </autoFilter>
  <tableColumns count="14">
    <tableColumn id="1" xr3:uid="{00000000-0010-0000-0000-000001000000}" name="Final Exam (207548)" totalsRowLabel="Total"/>
    <tableColumn id="2" xr3:uid="{00000000-0010-0000-0000-000002000000}" name="Score" totalsRowFunction="sum"/>
    <tableColumn id="3" xr3:uid="{00000000-0010-0000-0000-000003000000}" name="Description" totalsRowFunction="count" totalsRowDxfId="10"/>
    <tableColumn id="4" xr3:uid="{00000000-0010-0000-0000-000004000000}" name="bhagams4063" totalsRowFunction="custom" totalsRowDxfId="9">
      <totalsRowFormula array="1">SUMPRODUCT(IFERROR(VALUE(LEFT(Test_3[bhagams4063], FIND(" ",Test_3[bhagams4063]))),Test_3[bhagams4063]),IF(Test_3[Score],Test_3[Score],1))</totalsRowFormula>
    </tableColumn>
    <tableColumn id="5" xr3:uid="{00000000-0010-0000-0000-000005000000}" name="dahiyav6175" totalsRowFunction="custom" totalsRowDxfId="8">
      <totalsRowFormula array="1">SUMPRODUCT(IFERROR(VALUE(LEFT(Test_3[dahiyav6175], FIND(" ",Test_3[dahiyav6175]))),Test_3[dahiyav6175]),IF(Test_3[Score],Test_3[Score],1))</totalsRowFormula>
    </tableColumn>
    <tableColumn id="6" xr3:uid="{00000000-0010-0000-0000-000006000000}" name="janumalas4078" totalsRowFunction="custom" totalsRowDxfId="7">
      <totalsRowFormula array="1">SUMPRODUCT(IFERROR(VALUE(LEFT(Test_3[janumalas4078], FIND(" ",Test_3[janumalas4078]))),Test_3[janumalas4078]),IF(Test_3[Score],Test_3[Score],1))</totalsRowFormula>
    </tableColumn>
    <tableColumn id="7" xr3:uid="{00000000-0010-0000-0000-000007000000}" name="karuturim2445" totalsRowFunction="custom" totalsRowDxfId="6">
      <totalsRowFormula array="1">SUMPRODUCT(IFERROR(VALUE(LEFT(Test_3[karuturim2445], FIND(" ",Test_3[karuturim2445]))),Test_3[karuturim2445]),IF(Test_3[Score],Test_3[Score],1))</totalsRowFormula>
    </tableColumn>
    <tableColumn id="8" xr3:uid="{00000000-0010-0000-0000-000008000000}" name="sirasanambeth2444" totalsRowFunction="custom" totalsRowDxfId="5">
      <totalsRowFormula array="1">SUMPRODUCT(IFERROR(VALUE(LEFT(Test_3[sirasanambeth2444], FIND(" ",Test_3[sirasanambeth2444]))),Test_3[sirasanambeth2444]),IF(Test_3[Score],Test_3[Score],1))</totalsRowFormula>
    </tableColumn>
    <tableColumn id="9" xr3:uid="{00000000-0010-0000-0000-000009000000}" name="somepallik7697" totalsRowFunction="custom" totalsRowDxfId="4">
      <totalsRowFormula array="1">SUMPRODUCT(IFERROR(VALUE(LEFT(Test_3[somepallik7697], FIND(" ",Test_3[somepallik7697]))),Test_3[somepallik7697]),IF(Test_3[Score],Test_3[Score],1))</totalsRowFormula>
    </tableColumn>
    <tableColumn id="10" xr3:uid="{00000000-0010-0000-0000-00000A000000}" name="sotomayorj1594" totalsRowFunction="custom" totalsRowDxfId="3">
      <totalsRowFormula array="1">SUMPRODUCT(IFERROR(VALUE(LEFT(Test_3[sotomayorj1594], FIND(" ",Test_3[sotomayorj1594]))),Test_3[sotomayorj1594]),IF(Test_3[Score],Test_3[Score],1))</totalsRowFormula>
    </tableColumn>
    <tableColumn id="11" xr3:uid="{00000000-0010-0000-0000-00000B000000}" name="tanuboddys9697" totalsRowFunction="custom" totalsRowDxfId="2">
      <totalsRowFormula array="1">SUMPRODUCT(IFERROR(VALUE(LEFT(Test_3[tanuboddys9697], FIND(" ",Test_3[tanuboddys9697]))),Test_3[tanuboddys9697]),IF(Test_3[Score],Test_3[Score],1))</totalsRowFormula>
    </tableColumn>
    <tableColumn id="12" xr3:uid="{00000000-0010-0000-0000-00000C000000}" name="uppalh8095" totalsRowFunction="custom" totalsRowDxfId="1">
      <totalsRowFormula array="1">SUMPRODUCT(IFERROR(VALUE(LEFT(Test_3[uppalh8095], FIND(" ",Test_3[uppalh8095]))),Test_3[uppalh8095]),IF(Test_3[Score],Test_3[Score],1))</totalsRowFormula>
    </tableColumn>
    <tableColumn id="13" xr3:uid="{00000000-0010-0000-0000-00000D000000}" name="vemuriu6191" totalsRowFunction="custom" totalsRowDxfId="0">
      <totalsRowFormula array="1">SUMPRODUCT(IFERROR(VALUE(LEFT(Test_3[vemuriu6191], FIND(" ",Test_3[vemuriu6191]))),Test_3[vemuriu6191]),IF(Test_3[Score],Test_3[Score],1))</totalsRowFormula>
    </tableColumn>
    <tableColumn id="14" xr3:uid="{00000000-0010-0000-0000-00000E000000}" name="(MEAN)" totalsRowFunction="custom" dataDxfId="11">
      <calculatedColumnFormula array="1">SUM(IFERROR(VALUE(LEFT(Test_3[[#This Row],[bhagams4063]:[vemuriu6191]], FIND(" ",Test_3[[#This Row],[bhagams4063]:[vemuriu6191]]))),Test_3[[#This Row],[bhagams4063]:[vemuriu6191]]))/COUNT(Test_3[[#This Row],[bhagams4063]:[vemuriu6191]])</calculatedColumnFormula>
      <totalsRowFormula>SUMPRODUCT(Test_3[Score],Test_3[(MEAN)])</totalsRowFormula>
    </tableColumn>
  </tableColumns>
  <tableStyleInfo name="TableStyleMedium2" showFirstColumn="1" showLastColumn="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="157" zoomScaleNormal="157" workbookViewId="0">
      <pane xSplit="3" ySplit="1" topLeftCell="D2" activePane="bottomRight" state="frozen"/>
      <selection pane="topRight"/>
      <selection pane="bottomLeft"/>
      <selection pane="bottomRight" activeCell="A2" sqref="A2"/>
    </sheetView>
  </sheetViews>
  <sheetFormatPr defaultColWidth="8.86328125" defaultRowHeight="14.25" x14ac:dyDescent="0.45"/>
  <cols>
    <col min="1" max="2" width="8" customWidth="1"/>
    <col min="3" max="3" width="50" style="1" customWidth="1"/>
  </cols>
  <sheetData>
    <row r="1" spans="1:14" x14ac:dyDescent="0.45">
      <c r="A1" t="s">
        <v>50</v>
      </c>
      <c r="B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t="s">
        <v>12</v>
      </c>
    </row>
    <row r="2" spans="1:14" ht="42.75" x14ac:dyDescent="0.45">
      <c r="A2" t="s">
        <v>13</v>
      </c>
      <c r="B2">
        <v>10</v>
      </c>
      <c r="C2" s="1" t="s">
        <v>14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 cm="1">
        <f t="array" ref="N2">SUM(IFERROR(VALUE(LEFT(Test_3[[#This Row],[bhagams4063]:[vemuriu6191]], FIND(" ",Test_3[[#This Row],[bhagams4063]:[vemuriu6191]]))),Test_3[[#This Row],[bhagams4063]:[vemuriu6191]]))/COUNT(Test_3[[#This Row],[bhagams4063]:[vemuriu6191]])</f>
        <v>1</v>
      </c>
    </row>
    <row r="3" spans="1:14" ht="28.5" x14ac:dyDescent="0.45">
      <c r="A3" t="s">
        <v>15</v>
      </c>
      <c r="B3">
        <v>10</v>
      </c>
      <c r="C3" s="1" t="s">
        <v>16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 cm="1">
        <f t="array" ref="N3">SUM(IFERROR(VALUE(LEFT(Test_3[[#This Row],[bhagams4063]:[vemuriu6191]], FIND(" ",Test_3[[#This Row],[bhagams4063]:[vemuriu6191]]))),Test_3[[#This Row],[bhagams4063]:[vemuriu6191]]))/COUNT(Test_3[[#This Row],[bhagams4063]:[vemuriu6191]])</f>
        <v>1</v>
      </c>
    </row>
    <row r="4" spans="1:14" ht="42.75" x14ac:dyDescent="0.45">
      <c r="A4" t="s">
        <v>17</v>
      </c>
      <c r="B4">
        <v>8</v>
      </c>
      <c r="C4" s="1" t="s">
        <v>18</v>
      </c>
      <c r="D4">
        <v>0.75</v>
      </c>
      <c r="E4">
        <v>0.25</v>
      </c>
      <c r="F4">
        <v>1</v>
      </c>
      <c r="G4">
        <v>1</v>
      </c>
      <c r="H4">
        <v>1</v>
      </c>
      <c r="I4">
        <v>0.25</v>
      </c>
      <c r="J4">
        <v>1</v>
      </c>
      <c r="K4" t="s">
        <v>44</v>
      </c>
      <c r="L4">
        <v>1</v>
      </c>
      <c r="M4">
        <v>1</v>
      </c>
      <c r="N4" cm="1">
        <f t="array" ref="N4">SUM(IFERROR(VALUE(LEFT(Test_3[[#This Row],[bhagams4063]:[vemuriu6191]], FIND(" ",Test_3[[#This Row],[bhagams4063]:[vemuriu6191]]))),Test_3[[#This Row],[bhagams4063]:[vemuriu6191]]))/COUNT(Test_3[[#This Row],[bhagams4063]:[vemuriu6191]])</f>
        <v>0.88888888888888884</v>
      </c>
    </row>
    <row r="5" spans="1:14" ht="28.5" x14ac:dyDescent="0.45">
      <c r="A5" t="s">
        <v>19</v>
      </c>
      <c r="B5">
        <v>4</v>
      </c>
      <c r="C5" s="1" t="s">
        <v>20</v>
      </c>
      <c r="D5">
        <v>1</v>
      </c>
      <c r="E5">
        <v>0.5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 cm="1">
        <f t="array" ref="N5">SUM(IFERROR(VALUE(LEFT(Test_3[[#This Row],[bhagams4063]:[vemuriu6191]], FIND(" ",Test_3[[#This Row],[bhagams4063]:[vemuriu6191]]))),Test_3[[#This Row],[bhagams4063]:[vemuriu6191]]))/COUNT(Test_3[[#This Row],[bhagams4063]:[vemuriu6191]])</f>
        <v>0.95</v>
      </c>
    </row>
    <row r="6" spans="1:14" x14ac:dyDescent="0.45">
      <c r="A6" t="s">
        <v>21</v>
      </c>
      <c r="B6">
        <v>3</v>
      </c>
      <c r="C6" s="1" t="s">
        <v>22</v>
      </c>
      <c r="D6">
        <v>0.75</v>
      </c>
      <c r="E6">
        <v>0</v>
      </c>
      <c r="F6">
        <v>1</v>
      </c>
      <c r="G6">
        <v>0.75</v>
      </c>
      <c r="H6">
        <v>1</v>
      </c>
      <c r="I6">
        <v>0.75</v>
      </c>
      <c r="J6">
        <v>1</v>
      </c>
      <c r="K6">
        <v>1</v>
      </c>
      <c r="L6">
        <v>1</v>
      </c>
      <c r="M6">
        <v>1</v>
      </c>
      <c r="N6" cm="1">
        <f t="array" ref="N6">SUM(IFERROR(VALUE(LEFT(Test_3[[#This Row],[bhagams4063]:[vemuriu6191]], FIND(" ",Test_3[[#This Row],[bhagams4063]:[vemuriu6191]]))),Test_3[[#This Row],[bhagams4063]:[vemuriu6191]]))/COUNT(Test_3[[#This Row],[bhagams4063]:[vemuriu6191]])</f>
        <v>0.82499999999999996</v>
      </c>
    </row>
    <row r="7" spans="1:14" x14ac:dyDescent="0.45">
      <c r="A7" t="s">
        <v>23</v>
      </c>
      <c r="B7">
        <v>8</v>
      </c>
      <c r="C7" s="1" t="s">
        <v>24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 cm="1">
        <f t="array" ref="N7">SUM(IFERROR(VALUE(LEFT(Test_3[[#This Row],[bhagams4063]:[vemuriu6191]], FIND(" ",Test_3[[#This Row],[bhagams4063]:[vemuriu6191]]))),Test_3[[#This Row],[bhagams4063]:[vemuriu6191]]))/COUNT(Test_3[[#This Row],[bhagams4063]:[vemuriu6191]])</f>
        <v>1</v>
      </c>
    </row>
    <row r="8" spans="1:14" ht="28.5" x14ac:dyDescent="0.45">
      <c r="A8" t="s">
        <v>25</v>
      </c>
      <c r="B8">
        <v>8</v>
      </c>
      <c r="C8" s="1" t="s">
        <v>26</v>
      </c>
      <c r="D8">
        <v>1</v>
      </c>
      <c r="E8" t="s">
        <v>46</v>
      </c>
      <c r="F8">
        <v>0.75</v>
      </c>
      <c r="G8">
        <v>1</v>
      </c>
      <c r="H8">
        <v>1</v>
      </c>
      <c r="I8">
        <v>1</v>
      </c>
      <c r="J8" t="s">
        <v>45</v>
      </c>
      <c r="K8">
        <v>1</v>
      </c>
      <c r="L8">
        <v>1</v>
      </c>
      <c r="M8">
        <v>1</v>
      </c>
      <c r="N8" cm="1">
        <f t="array" ref="N8">SUM(IFERROR(VALUE(LEFT(Test_3[[#This Row],[bhagams4063]:[vemuriu6191]], FIND(" ",Test_3[[#This Row],[bhagams4063]:[vemuriu6191]]))),Test_3[[#This Row],[bhagams4063]:[vemuriu6191]]))/COUNT(Test_3[[#This Row],[bhagams4063]:[vemuriu6191]])</f>
        <v>1.15625</v>
      </c>
    </row>
    <row r="9" spans="1:14" ht="42.75" x14ac:dyDescent="0.45">
      <c r="A9" t="s">
        <v>27</v>
      </c>
      <c r="B9">
        <v>8</v>
      </c>
      <c r="C9" s="1" t="s">
        <v>28</v>
      </c>
      <c r="D9">
        <v>1</v>
      </c>
      <c r="E9">
        <v>0.5</v>
      </c>
      <c r="F9">
        <v>1</v>
      </c>
      <c r="G9">
        <v>0.75</v>
      </c>
      <c r="H9">
        <v>1</v>
      </c>
      <c r="I9">
        <v>0.5</v>
      </c>
      <c r="J9">
        <v>0.75</v>
      </c>
      <c r="K9">
        <v>0.75</v>
      </c>
      <c r="L9">
        <v>1</v>
      </c>
      <c r="M9">
        <v>1</v>
      </c>
      <c r="N9" cm="1">
        <f t="array" ref="N9">SUM(IFERROR(VALUE(LEFT(Test_3[[#This Row],[bhagams4063]:[vemuriu6191]], FIND(" ",Test_3[[#This Row],[bhagams4063]:[vemuriu6191]]))),Test_3[[#This Row],[bhagams4063]:[vemuriu6191]]))/COUNT(Test_3[[#This Row],[bhagams4063]:[vemuriu6191]])</f>
        <v>0.82499999999999996</v>
      </c>
    </row>
    <row r="10" spans="1:14" ht="28.5" x14ac:dyDescent="0.45">
      <c r="A10" t="s">
        <v>29</v>
      </c>
      <c r="B10">
        <v>10</v>
      </c>
      <c r="C10" s="1" t="s">
        <v>30</v>
      </c>
      <c r="D10">
        <v>1</v>
      </c>
      <c r="E10" t="s">
        <v>47</v>
      </c>
      <c r="F10">
        <v>0.5</v>
      </c>
      <c r="G10">
        <v>0.5</v>
      </c>
      <c r="H10">
        <v>1</v>
      </c>
      <c r="I10">
        <v>1</v>
      </c>
      <c r="J10">
        <v>1</v>
      </c>
      <c r="K10">
        <v>0.5</v>
      </c>
      <c r="L10">
        <v>1</v>
      </c>
      <c r="M10">
        <v>1</v>
      </c>
      <c r="N10" cm="1">
        <f t="array" ref="N10">SUM(IFERROR(VALUE(LEFT(Test_3[[#This Row],[bhagams4063]:[vemuriu6191]], FIND(" ",Test_3[[#This Row],[bhagams4063]:[vemuriu6191]]))),Test_3[[#This Row],[bhagams4063]:[vemuriu6191]]))/COUNT(Test_3[[#This Row],[bhagams4063]:[vemuriu6191]])</f>
        <v>0.83333333333333337</v>
      </c>
    </row>
    <row r="11" spans="1:14" x14ac:dyDescent="0.45">
      <c r="A11" t="s">
        <v>31</v>
      </c>
      <c r="B11">
        <v>5</v>
      </c>
      <c r="C11" s="1" t="s">
        <v>32</v>
      </c>
      <c r="D11">
        <v>1</v>
      </c>
      <c r="E11">
        <v>0.5</v>
      </c>
      <c r="F11">
        <v>1</v>
      </c>
      <c r="G11">
        <v>1</v>
      </c>
      <c r="H11">
        <v>1</v>
      </c>
      <c r="I11">
        <v>0.5</v>
      </c>
      <c r="J11">
        <v>1</v>
      </c>
      <c r="K11">
        <v>0.5</v>
      </c>
      <c r="L11">
        <v>1</v>
      </c>
      <c r="M11">
        <v>1</v>
      </c>
      <c r="N11" cm="1">
        <f t="array" ref="N11">SUM(IFERROR(VALUE(LEFT(Test_3[[#This Row],[bhagams4063]:[vemuriu6191]], FIND(" ",Test_3[[#This Row],[bhagams4063]:[vemuriu6191]]))),Test_3[[#This Row],[bhagams4063]:[vemuriu6191]]))/COUNT(Test_3[[#This Row],[bhagams4063]:[vemuriu6191]])</f>
        <v>0.85</v>
      </c>
    </row>
    <row r="12" spans="1:14" ht="28.5" x14ac:dyDescent="0.45">
      <c r="A12" t="s">
        <v>33</v>
      </c>
      <c r="B12">
        <v>5</v>
      </c>
      <c r="C12" s="1" t="s">
        <v>34</v>
      </c>
      <c r="D12">
        <v>1</v>
      </c>
      <c r="E12">
        <v>1</v>
      </c>
      <c r="F12">
        <v>1</v>
      </c>
      <c r="G12">
        <v>1</v>
      </c>
      <c r="H12">
        <v>0.5</v>
      </c>
      <c r="I12">
        <v>1</v>
      </c>
      <c r="J12">
        <v>1</v>
      </c>
      <c r="K12">
        <v>1</v>
      </c>
      <c r="L12">
        <v>1</v>
      </c>
      <c r="M12">
        <v>1</v>
      </c>
      <c r="N12" cm="1">
        <f t="array" ref="N12">SUM(IFERROR(VALUE(LEFT(Test_3[[#This Row],[bhagams4063]:[vemuriu6191]], FIND(" ",Test_3[[#This Row],[bhagams4063]:[vemuriu6191]]))),Test_3[[#This Row],[bhagams4063]:[vemuriu6191]]))/COUNT(Test_3[[#This Row],[bhagams4063]:[vemuriu6191]])</f>
        <v>0.95</v>
      </c>
    </row>
    <row r="13" spans="1:14" ht="28.5" x14ac:dyDescent="0.45">
      <c r="A13" t="s">
        <v>35</v>
      </c>
      <c r="B13">
        <v>5</v>
      </c>
      <c r="C13" s="1" t="s">
        <v>36</v>
      </c>
      <c r="D13">
        <v>0.5</v>
      </c>
      <c r="E13">
        <v>0.25</v>
      </c>
      <c r="F13">
        <v>1</v>
      </c>
      <c r="G13">
        <v>1</v>
      </c>
      <c r="H13">
        <v>1</v>
      </c>
      <c r="I13">
        <v>0.5</v>
      </c>
      <c r="J13">
        <v>0.5</v>
      </c>
      <c r="K13">
        <v>0.25</v>
      </c>
      <c r="L13">
        <v>0.75</v>
      </c>
      <c r="M13">
        <v>1</v>
      </c>
      <c r="N13" cm="1">
        <f t="array" ref="N13">SUM(IFERROR(VALUE(LEFT(Test_3[[#This Row],[bhagams4063]:[vemuriu6191]], FIND(" ",Test_3[[#This Row],[bhagams4063]:[vemuriu6191]]))),Test_3[[#This Row],[bhagams4063]:[vemuriu6191]]))/COUNT(Test_3[[#This Row],[bhagams4063]:[vemuriu6191]])</f>
        <v>0.67500000000000004</v>
      </c>
    </row>
    <row r="14" spans="1:14" ht="42.75" x14ac:dyDescent="0.45">
      <c r="A14" t="s">
        <v>37</v>
      </c>
      <c r="B14">
        <v>5</v>
      </c>
      <c r="C14" s="1" t="s">
        <v>38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0.25</v>
      </c>
      <c r="K14">
        <v>0</v>
      </c>
      <c r="L14">
        <v>1</v>
      </c>
      <c r="M14">
        <v>1</v>
      </c>
      <c r="N14" cm="1">
        <f t="array" ref="N14">SUM(IFERROR(VALUE(LEFT(Test_3[[#This Row],[bhagams4063]:[vemuriu6191]], FIND(" ",Test_3[[#This Row],[bhagams4063]:[vemuriu6191]]))),Test_3[[#This Row],[bhagams4063]:[vemuriu6191]]))/COUNT(Test_3[[#This Row],[bhagams4063]:[vemuriu6191]])</f>
        <v>0.72499999999999998</v>
      </c>
    </row>
    <row r="15" spans="1:14" x14ac:dyDescent="0.45">
      <c r="A15" t="s">
        <v>39</v>
      </c>
      <c r="B15">
        <v>5</v>
      </c>
      <c r="C15" s="1" t="s">
        <v>40</v>
      </c>
      <c r="D15">
        <v>1</v>
      </c>
      <c r="E15">
        <v>1</v>
      </c>
      <c r="F15">
        <v>1</v>
      </c>
      <c r="G15" t="s">
        <v>49</v>
      </c>
      <c r="H15">
        <v>1</v>
      </c>
      <c r="I15">
        <v>1</v>
      </c>
      <c r="J15">
        <v>1</v>
      </c>
      <c r="K15" t="s">
        <v>49</v>
      </c>
      <c r="L15">
        <v>1</v>
      </c>
      <c r="M15">
        <v>1</v>
      </c>
      <c r="N15" cm="1">
        <f t="array" ref="N15">SUM(IFERROR(VALUE(LEFT(Test_3[[#This Row],[bhagams4063]:[vemuriu6191]], FIND(" ",Test_3[[#This Row],[bhagams4063]:[vemuriu6191]]))),Test_3[[#This Row],[bhagams4063]:[vemuriu6191]]))/COUNT(Test_3[[#This Row],[bhagams4063]:[vemuriu6191]])</f>
        <v>1</v>
      </c>
    </row>
    <row r="16" spans="1:14" ht="42.75" x14ac:dyDescent="0.45">
      <c r="A16" t="s">
        <v>41</v>
      </c>
      <c r="B16">
        <v>6</v>
      </c>
      <c r="C16" s="1" t="s">
        <v>42</v>
      </c>
      <c r="D16">
        <v>0.75</v>
      </c>
      <c r="E16" t="s">
        <v>48</v>
      </c>
      <c r="F16">
        <v>1</v>
      </c>
      <c r="G16">
        <v>1</v>
      </c>
      <c r="H16">
        <v>1</v>
      </c>
      <c r="I16">
        <v>0.75</v>
      </c>
      <c r="J16">
        <v>0.75</v>
      </c>
      <c r="K16">
        <v>0.25</v>
      </c>
      <c r="L16">
        <v>0.75</v>
      </c>
      <c r="M16">
        <v>1</v>
      </c>
      <c r="N16" cm="1">
        <f t="array" ref="N16">SUM(IFERROR(VALUE(LEFT(Test_3[[#This Row],[bhagams4063]:[vemuriu6191]], FIND(" ",Test_3[[#This Row],[bhagams4063]:[vemuriu6191]]))),Test_3[[#This Row],[bhagams4063]:[vemuriu6191]]))/COUNT(Test_3[[#This Row],[bhagams4063]:[vemuriu6191]])</f>
        <v>0.83333333333333337</v>
      </c>
    </row>
    <row r="17" spans="1:14" x14ac:dyDescent="0.45">
      <c r="A17" t="s">
        <v>43</v>
      </c>
      <c r="B17">
        <f>SUBTOTAL(109,Test_3[Score])</f>
        <v>100</v>
      </c>
      <c r="C17" s="1">
        <f>SUBTOTAL(103,Test_3[Description])</f>
        <v>15</v>
      </c>
      <c r="D17" s="2" cm="1">
        <f t="array" ref="D17">SUMPRODUCT(IFERROR(VALUE(LEFT(Test_3[bhagams4063], FIND(" ",Test_3[bhagams4063]))),Test_3[bhagams4063]),IF(Test_3[Score],Test_3[Score],1))</f>
        <v>93.25</v>
      </c>
      <c r="E17" s="2" cm="1">
        <f t="array" ref="E17">SUMPRODUCT(IFERROR(VALUE(LEFT(Test_3[dahiyav6175], FIND(" ",Test_3[dahiyav6175]))),Test_3[dahiyav6175]),IF(Test_3[Score],Test_3[Score],1))</f>
        <v>57.25</v>
      </c>
      <c r="F17" s="2" cm="1">
        <f t="array" ref="F17">SUMPRODUCT(IFERROR(VALUE(LEFT(Test_3[janumalas4078], FIND(" ",Test_3[janumalas4078]))),Test_3[janumalas4078]),IF(Test_3[Score],Test_3[Score],1))</f>
        <v>93</v>
      </c>
      <c r="G17" s="2" cm="1">
        <f t="array" ref="G17">SUMPRODUCT(IFERROR(VALUE(LEFT(Test_3[karuturim2445], FIND(" ",Test_3[karuturim2445]))),Test_3[karuturim2445]),IF(Test_3[Score],Test_3[Score],1))</f>
        <v>87.25</v>
      </c>
      <c r="H17" s="2" cm="1">
        <f t="array" ref="H17">SUMPRODUCT(IFERROR(VALUE(LEFT(Test_3[sirasanambeth2444], FIND(" ",Test_3[sirasanambeth2444]))),Test_3[sirasanambeth2444]),IF(Test_3[Score],Test_3[Score],1))</f>
        <v>97.5</v>
      </c>
      <c r="I17" s="2" cm="1">
        <f t="array" ref="I17">SUMPRODUCT(IFERROR(VALUE(LEFT(Test_3[somepallik7697], FIND(" ",Test_3[somepallik7697]))),Test_3[somepallik7697]),IF(Test_3[Score],Test_3[Score],1))</f>
        <v>82.75</v>
      </c>
      <c r="J17" s="2" cm="1">
        <f t="array" ref="J17">SUMPRODUCT(IFERROR(VALUE(LEFT(Test_3[sotomayorj1594], FIND(" ",Test_3[sotomayorj1594]))),Test_3[sotomayorj1594]),IF(Test_3[Score],Test_3[Score],1))</f>
        <v>88.25</v>
      </c>
      <c r="K17" s="2" cm="1">
        <f t="array" ref="K17">SUMPRODUCT(IFERROR(VALUE(LEFT(Test_3[tanuboddys9697], FIND(" ",Test_3[tanuboddys9697]))),Test_3[tanuboddys9697]),IF(Test_3[Score],Test_3[Score],1))</f>
        <v>70.25</v>
      </c>
      <c r="L17" s="2" cm="1">
        <f t="array" ref="L17">SUMPRODUCT(IFERROR(VALUE(LEFT(Test_3[uppalh8095], FIND(" ",Test_3[uppalh8095]))),Test_3[uppalh8095]),IF(Test_3[Score],Test_3[Score],1))</f>
        <v>97.25</v>
      </c>
      <c r="M17" s="2" cm="1">
        <f t="array" ref="M17">SUMPRODUCT(IFERROR(VALUE(LEFT(Test_3[vemuriu6191], FIND(" ",Test_3[vemuriu6191]))),Test_3[vemuriu6191]),IF(Test_3[Score],Test_3[Score],1))</f>
        <v>100</v>
      </c>
      <c r="N17">
        <f>SUMPRODUCT(Test_3[Score],Test_3[(MEAN)])</f>
        <v>91.569444444444443</v>
      </c>
    </row>
  </sheetData>
  <phoneticPr fontId="1" type="noConversion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573B7C3B5850438E0927002E0772CF" ma:contentTypeVersion="4" ma:contentTypeDescription="Create a new document." ma:contentTypeScope="" ma:versionID="6d48eae3a268c5cace72f7336b464f30">
  <xsd:schema xmlns:xsd="http://www.w3.org/2001/XMLSchema" xmlns:xs="http://www.w3.org/2001/XMLSchema" xmlns:p="http://schemas.microsoft.com/office/2006/metadata/properties" xmlns:ns2="347c1e00-d0ed-47e9-a38b-bef06117a4c8" targetNamespace="http://schemas.microsoft.com/office/2006/metadata/properties" ma:root="true" ma:fieldsID="1da971900fecc6f6ee19b2784d874910" ns2:_="">
    <xsd:import namespace="347c1e00-d0ed-47e9-a38b-bef06117a4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1e00-d0ed-47e9-a38b-bef06117a4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74CBAA-E7FE-4517-9860-F320FCEF01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c1e00-d0ed-47e9-a38b-bef06117a4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1F6A41-33E7-445C-875D-5802423701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2024-05-04T19:43:24Z</dcterms:created>
  <dcterms:modified xsi:type="dcterms:W3CDTF">2024-05-08T22:05:10Z</dcterms:modified>
  <cp:category/>
  <cp:contentStatus/>
</cp:coreProperties>
</file>