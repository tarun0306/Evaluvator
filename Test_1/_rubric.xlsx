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201" documentId="11_BDE2D3D0F89C375F0D75728B5D9A376411410191" xr6:coauthVersionLast="47" xr6:coauthVersionMax="47" xr10:uidLastSave="{294D14A0-258B-49CE-8A42-5A27F17CAA24}"/>
  <bookViews>
    <workbookView xWindow="733" yWindow="733" windowWidth="19200" windowHeight="10014" xr2:uid="{00000000-000D-0000-FFFF-FFFF00000000}"/>
  </bookViews>
  <sheets>
    <sheet name="Rubr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C14" i="1"/>
  <c r="E14" i="1"/>
  <c r="F14" i="1"/>
  <c r="G14" i="1"/>
  <c r="H14" i="1"/>
  <c r="I14" i="1"/>
  <c r="J14" i="1"/>
  <c r="K14" i="1"/>
  <c r="L14" i="1"/>
  <c r="M14" i="1"/>
  <c r="D14" i="1"/>
  <c r="B14" i="1"/>
</calcChain>
</file>

<file path=xl/sharedStrings.xml><?xml version="1.0" encoding="utf-8"?>
<sst xmlns="http://schemas.openxmlformats.org/spreadsheetml/2006/main" count="39" uniqueCount="39">
  <si>
    <t>Score</t>
  </si>
  <si>
    <t>Description</t>
  </si>
  <si>
    <t>bhagams4063</t>
  </si>
  <si>
    <t>dahiyav6175</t>
  </si>
  <si>
    <t>janumalas4078</t>
  </si>
  <si>
    <t>karuturim2445</t>
  </si>
  <si>
    <t>sirasanambeth2444</t>
  </si>
  <si>
    <t>somepallik7697</t>
  </si>
  <si>
    <t>sotomayorj1594</t>
  </si>
  <si>
    <t>tanuboddys9697</t>
  </si>
  <si>
    <t>uppalh8095</t>
  </si>
  <si>
    <t>vemuriu6191</t>
  </si>
  <si>
    <t>AVG</t>
  </si>
  <si>
    <t>A1</t>
  </si>
  <si>
    <r>
      <t xml:space="preserve">Without using a loop, input three </t>
    </r>
    <r>
      <rPr>
        <b/>
        <sz val="12"/>
        <color theme="1"/>
        <rFont val="Cambria"/>
        <family val="1"/>
      </rPr>
      <t>integers</t>
    </r>
    <r>
      <rPr>
        <sz val="12"/>
        <color theme="1"/>
        <rFont val="Cambria"/>
        <family val="1"/>
      </rPr>
      <t>.</t>
    </r>
  </si>
  <si>
    <t>A2</t>
  </si>
  <si>
    <t>Determine which quotients of the two numbers from the three numbers entered are not zero, ensuring its divisor also not zero.</t>
  </si>
  <si>
    <t>A3</t>
  </si>
  <si>
    <t>Include all the non-zero remainders that satisfy the conditions above into the average.</t>
  </si>
  <si>
    <t>A4</t>
  </si>
  <si>
    <t>If such an average exists, print out the average.</t>
  </si>
  <si>
    <t>B1</t>
  </si>
  <si>
    <r>
      <t>Using a loop, Input a sequence of integer pairs (</t>
    </r>
    <r>
      <rPr>
        <i/>
        <sz val="12"/>
        <color theme="1"/>
        <rFont val="Cambria"/>
        <family val="1"/>
      </rPr>
      <t>a</t>
    </r>
    <r>
      <rPr>
        <sz val="12"/>
        <color theme="1"/>
        <rFont val="Cambria"/>
        <family val="1"/>
      </rPr>
      <t xml:space="preserve"> and </t>
    </r>
    <r>
      <rPr>
        <i/>
        <sz val="12"/>
        <color theme="1"/>
        <rFont val="Cambria"/>
        <family val="1"/>
      </rPr>
      <t>b</t>
    </r>
    <r>
      <rPr>
        <sz val="12"/>
        <color theme="1"/>
        <rFont val="Cambria"/>
        <family val="1"/>
      </rPr>
      <t>) until any integer entered is zero.</t>
    </r>
  </si>
  <si>
    <t>B2</t>
  </si>
  <si>
    <r>
      <t>For each pair, determine which quotient of the pairs entered (</t>
    </r>
    <r>
      <rPr>
        <i/>
        <sz val="12"/>
        <color theme="1"/>
        <rFont val="Cambria"/>
        <family val="1"/>
      </rPr>
      <t>a</t>
    </r>
    <r>
      <rPr>
        <sz val="12"/>
        <color theme="1"/>
        <rFont val="Cambria"/>
        <family val="1"/>
      </rPr>
      <t xml:space="preserve"> and </t>
    </r>
    <r>
      <rPr>
        <i/>
        <sz val="12"/>
        <color theme="1"/>
        <rFont val="Cambria"/>
        <family val="1"/>
      </rPr>
      <t>b</t>
    </r>
    <r>
      <rPr>
        <sz val="12"/>
        <color theme="1"/>
        <rFont val="Cambria"/>
        <family val="1"/>
      </rPr>
      <t>) is not zero.</t>
    </r>
  </si>
  <si>
    <t>B3</t>
  </si>
  <si>
    <t>Include all the non-zero remainders into the average whenever that condition is true.</t>
  </si>
  <si>
    <t>B4</t>
  </si>
  <si>
    <t>Print out the average if such an average exists.</t>
  </si>
  <si>
    <t>C1</t>
  </si>
  <si>
    <t>Enter a sequence of integers until two identical numbers are entered continuously - setting valid previous value.</t>
  </si>
  <si>
    <t>C2</t>
  </si>
  <si>
    <r>
      <rPr>
        <b/>
        <i/>
        <sz val="12"/>
        <color theme="1"/>
        <rFont val="Cambria"/>
        <family val="1"/>
      </rPr>
      <t>Maximum number with an increasing last digit</t>
    </r>
    <r>
      <rPr>
        <sz val="12"/>
        <color theme="1"/>
        <rFont val="Cambria"/>
        <family val="1"/>
      </rPr>
      <t xml:space="preserve">: find the </t>
    </r>
    <r>
      <rPr>
        <b/>
        <u/>
        <sz val="12"/>
        <color theme="1"/>
        <rFont val="Cambria"/>
        <family val="1"/>
      </rPr>
      <t>MAXIMUM</t>
    </r>
    <r>
      <rPr>
        <sz val="12"/>
        <color theme="1"/>
        <rFont val="Cambria"/>
        <family val="1"/>
      </rPr>
      <t xml:space="preserve"> of the numbers entered in increasing order when its last digit is in increasing order compared to the previous number.</t>
    </r>
  </si>
  <si>
    <t>C3</t>
  </si>
  <si>
    <r>
      <rPr>
        <b/>
        <i/>
        <sz val="12"/>
        <color theme="1"/>
        <rFont val="Cambria"/>
        <family val="1"/>
      </rPr>
      <t>Minimum number with a decreasing last digit</t>
    </r>
    <r>
      <rPr>
        <sz val="12"/>
        <color theme="1"/>
        <rFont val="Cambria"/>
        <family val="1"/>
      </rPr>
      <t xml:space="preserve">: find the </t>
    </r>
    <r>
      <rPr>
        <b/>
        <u/>
        <sz val="12"/>
        <color theme="1"/>
        <rFont val="Cambria"/>
        <family val="1"/>
      </rPr>
      <t>MINIMUM</t>
    </r>
    <r>
      <rPr>
        <sz val="12"/>
        <color theme="1"/>
        <rFont val="Cambria"/>
        <family val="1"/>
      </rPr>
      <t xml:space="preserve"> of the numbers entered when its last digit is in decreasing order compared to the previous number.</t>
    </r>
  </si>
  <si>
    <t>C4</t>
  </si>
  <si>
    <t xml:space="preserve">Print out the number of values (count) entered that lie between these minimum and maximum values if such maximum and minimum points exist in the sequence of numbers entered. </t>
  </si>
  <si>
    <t>Total</t>
  </si>
  <si>
    <t>Test 1 (207573)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</si>
</sst>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i/>
      <sz val="12"/>
      <color theme="1"/>
      <name val="Cambria"/>
      <family val="1"/>
    </font>
    <font>
      <b/>
      <i/>
      <sz val="12"/>
      <color theme="1"/>
      <name val="Cambria"/>
      <family val="1"/>
    </font>
    <font>
      <b/>
      <u/>
      <sz val="12"/>
      <color theme="1"/>
      <name val="Cambria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numFmt numFmtId="0" formatCode="General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55F317-05A3-0447-AA6B-5BDAA8649468}" name="Table2" displayName="Table2" ref="A1:N14" totalsRowCount="1">
  <autoFilter ref="A1:N13" xr:uid="{2255F317-05A3-0447-AA6B-5BDAA8649468}"/>
  <tableColumns count="14">
    <tableColumn id="1" xr3:uid="{0CFC869B-8326-4C4F-8702-04FB0061BC06}" name="Test 1 (207573)" totalsRowLabel="Total"/>
    <tableColumn id="2" xr3:uid="{7CE7536F-1A43-2C41-8089-6CF316124BF6}" name="Score" totalsRowFunction="sum"/>
    <tableColumn id="3" xr3:uid="{6E8E4E2E-B012-A549-A778-4CCAC60C1E72}" name="Description" totalsRowFunction="count" dataDxfId="2" totalsRowDxfId="0"/>
    <tableColumn id="4" xr3:uid="{29C86CB7-1F4C-B544-B9B4-D94CF03772DA}" name="bhagams4063" totalsRowFunction="custom">
      <totalsRowFormula>SUMPRODUCT($B$2:$B$13, Table2[bhagams4063])</totalsRowFormula>
    </tableColumn>
    <tableColumn id="5" xr3:uid="{269F5B22-03A2-0C4E-8C35-A57074CB8B7F}" name="dahiyav6175" totalsRowFunction="custom">
      <totalsRowFormula>SUMPRODUCT($B$2:$B$13, Table2[dahiyav6175])</totalsRowFormula>
    </tableColumn>
    <tableColumn id="6" xr3:uid="{F389BA54-5471-5844-8DC5-A874DB13F179}" name="janumalas4078" totalsRowFunction="custom">
      <totalsRowFormula>SUMPRODUCT($B$2:$B$13, Table2[janumalas4078])</totalsRowFormula>
    </tableColumn>
    <tableColumn id="7" xr3:uid="{B69F5CA1-973A-304E-A187-57851BF81249}" name="karuturim2445" totalsRowFunction="custom">
      <totalsRowFormula>SUMPRODUCT($B$2:$B$13, Table2[karuturim2445])</totalsRowFormula>
    </tableColumn>
    <tableColumn id="8" xr3:uid="{876A9E50-2970-664C-ACE1-8DA1A998B310}" name="sirasanambeth2444" totalsRowFunction="custom">
      <totalsRowFormula>SUMPRODUCT($B$2:$B$13, Table2[sirasanambeth2444])</totalsRowFormula>
    </tableColumn>
    <tableColumn id="9" xr3:uid="{EE1E0ED2-2E03-F04D-8BD7-74D5F8B0D9D1}" name="somepallik7697" totalsRowFunction="custom">
      <totalsRowFormula>SUMPRODUCT($B$2:$B$13, Table2[somepallik7697])</totalsRowFormula>
    </tableColumn>
    <tableColumn id="10" xr3:uid="{E321677D-CFDA-E04B-9CFE-80EFC5C5A5E9}" name="sotomayorj1594" totalsRowFunction="custom">
      <totalsRowFormula>SUMPRODUCT($B$2:$B$13, Table2[sotomayorj1594])</totalsRowFormula>
    </tableColumn>
    <tableColumn id="11" xr3:uid="{AE082D18-A731-5645-A6A5-F609A6B0E1E2}" name="tanuboddys9697" totalsRowFunction="custom">
      <totalsRowFormula>SUMPRODUCT($B$2:$B$13, Table2[tanuboddys9697])</totalsRowFormula>
    </tableColumn>
    <tableColumn id="12" xr3:uid="{62E6FCA2-988A-2342-B91E-FCE9FAB31C43}" name="uppalh8095" totalsRowFunction="custom">
      <totalsRowFormula>SUMPRODUCT($B$2:$B$13, Table2[uppalh8095])</totalsRowFormula>
    </tableColumn>
    <tableColumn id="13" xr3:uid="{593648A9-2BF8-A74A-B438-90AB8172F493}" name="vemuriu6191" totalsRowFunction="custom">
      <totalsRowFormula>SUMPRODUCT($B$2:$B$13, Table2[vemuriu6191])</totalsRowFormula>
    </tableColumn>
    <tableColumn id="14" xr3:uid="{2267CFC9-6F4A-6341-91A8-01401FE8248C}" name="AVG" dataDxfId="1">
      <calculatedColumnFormula>AVERAGE(Table2[[#This Row],[bhagams4063]:[vemuriu6191]])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="96" zoomScaleNormal="96" workbookViewId="0">
      <pane xSplit="3" ySplit="1" topLeftCell="D11" activePane="bottomRight" state="frozen"/>
      <selection pane="topRight" activeCell="D1" sqref="D1"/>
      <selection pane="bottomLeft" activeCell="A2" sqref="A2"/>
      <selection pane="bottomRight"/>
    </sheetView>
  </sheetViews>
  <sheetFormatPr defaultColWidth="8.64453125" defaultRowHeight="14.35" x14ac:dyDescent="0.5"/>
  <cols>
    <col min="1" max="1" width="9.3515625" customWidth="1"/>
    <col min="3" max="3" width="37.46875" style="1" customWidth="1"/>
    <col min="4" max="4" width="14.17578125" customWidth="1"/>
    <col min="5" max="5" width="13.3515625" customWidth="1"/>
    <col min="6" max="7" width="15.17578125" customWidth="1"/>
    <col min="8" max="8" width="18.46875" customWidth="1"/>
    <col min="9" max="9" width="15.64453125" customWidth="1"/>
    <col min="10" max="10" width="16.17578125" customWidth="1"/>
    <col min="11" max="11" width="16.46875" customWidth="1"/>
    <col min="12" max="12" width="12.64453125" customWidth="1"/>
    <col min="13" max="13" width="13.64453125" customWidth="1"/>
  </cols>
  <sheetData>
    <row r="1" spans="1:14" x14ac:dyDescent="0.5">
      <c r="A1" t="s">
        <v>38</v>
      </c>
      <c r="B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t="30" x14ac:dyDescent="0.5">
      <c r="A2" t="s">
        <v>13</v>
      </c>
      <c r="B2">
        <v>10</v>
      </c>
      <c r="C2" s="2" t="s">
        <v>14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f>AVERAGE(Table2[[#This Row],[bhagams4063]:[vemuriu6191]])</f>
        <v>1</v>
      </c>
    </row>
    <row r="3" spans="1:14" ht="60" x14ac:dyDescent="0.5">
      <c r="A3" t="s">
        <v>15</v>
      </c>
      <c r="B3">
        <v>10</v>
      </c>
      <c r="C3" s="2" t="s">
        <v>16</v>
      </c>
      <c r="D3">
        <v>0.75</v>
      </c>
      <c r="E3">
        <v>0.75</v>
      </c>
      <c r="F3">
        <v>1</v>
      </c>
      <c r="G3">
        <v>0.5</v>
      </c>
      <c r="H3">
        <v>0.75</v>
      </c>
      <c r="I3">
        <v>0.75</v>
      </c>
      <c r="J3">
        <v>0.75</v>
      </c>
      <c r="K3">
        <v>1</v>
      </c>
      <c r="L3">
        <v>1</v>
      </c>
      <c r="M3">
        <v>0</v>
      </c>
      <c r="N3">
        <f>AVERAGE(Table2[[#This Row],[bhagams4063]:[vemuriu6191]])</f>
        <v>0.72499999999999998</v>
      </c>
    </row>
    <row r="4" spans="1:14" ht="45" x14ac:dyDescent="0.5">
      <c r="A4" t="s">
        <v>17</v>
      </c>
      <c r="B4">
        <v>10</v>
      </c>
      <c r="C4" s="2" t="s">
        <v>18</v>
      </c>
      <c r="D4">
        <v>1</v>
      </c>
      <c r="E4">
        <v>1</v>
      </c>
      <c r="F4">
        <v>1</v>
      </c>
      <c r="G4">
        <v>0.75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f>AVERAGE(Table2[[#This Row],[bhagams4063]:[vemuriu6191]])</f>
        <v>0.97499999999999998</v>
      </c>
    </row>
    <row r="5" spans="1:14" ht="30" x14ac:dyDescent="0.5">
      <c r="A5" t="s">
        <v>19</v>
      </c>
      <c r="B5">
        <v>10</v>
      </c>
      <c r="C5" s="2" t="s">
        <v>20</v>
      </c>
      <c r="D5">
        <v>1</v>
      </c>
      <c r="E5">
        <v>1</v>
      </c>
      <c r="F5">
        <v>1</v>
      </c>
      <c r="G5">
        <v>0.75</v>
      </c>
      <c r="H5">
        <v>1</v>
      </c>
      <c r="I5">
        <v>1</v>
      </c>
      <c r="J5">
        <v>1</v>
      </c>
      <c r="K5">
        <v>0.75</v>
      </c>
      <c r="L5">
        <v>1</v>
      </c>
      <c r="M5">
        <v>1</v>
      </c>
      <c r="N5">
        <f>AVERAGE(Table2[[#This Row],[bhagams4063]:[vemuriu6191]])</f>
        <v>0.95</v>
      </c>
    </row>
    <row r="6" spans="1:14" ht="45" x14ac:dyDescent="0.5">
      <c r="A6" t="s">
        <v>21</v>
      </c>
      <c r="B6">
        <v>10</v>
      </c>
      <c r="C6" s="2" t="s">
        <v>22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f>AVERAGE(Table2[[#This Row],[bhagams4063]:[vemuriu6191]])</f>
        <v>1</v>
      </c>
    </row>
    <row r="7" spans="1:14" ht="45" x14ac:dyDescent="0.5">
      <c r="A7" t="s">
        <v>23</v>
      </c>
      <c r="B7">
        <v>10</v>
      </c>
      <c r="C7" s="2" t="s">
        <v>24</v>
      </c>
      <c r="D7">
        <v>1</v>
      </c>
      <c r="E7">
        <v>1</v>
      </c>
      <c r="F7">
        <v>1</v>
      </c>
      <c r="G7">
        <v>0.75</v>
      </c>
      <c r="H7">
        <v>1</v>
      </c>
      <c r="I7">
        <v>1</v>
      </c>
      <c r="J7">
        <v>1</v>
      </c>
      <c r="K7">
        <v>1</v>
      </c>
      <c r="L7">
        <v>1</v>
      </c>
      <c r="M7">
        <v>0.75</v>
      </c>
      <c r="N7">
        <f>AVERAGE(Table2[[#This Row],[bhagams4063]:[vemuriu6191]])</f>
        <v>0.95</v>
      </c>
    </row>
    <row r="8" spans="1:14" ht="45" x14ac:dyDescent="0.5">
      <c r="A8" t="s">
        <v>25</v>
      </c>
      <c r="B8">
        <v>10</v>
      </c>
      <c r="C8" s="2" t="s">
        <v>26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0.5</v>
      </c>
      <c r="N8">
        <f>AVERAGE(Table2[[#This Row],[bhagams4063]:[vemuriu6191]])</f>
        <v>0.95</v>
      </c>
    </row>
    <row r="9" spans="1:14" ht="30" x14ac:dyDescent="0.5">
      <c r="A9" t="s">
        <v>27</v>
      </c>
      <c r="B9">
        <v>10</v>
      </c>
      <c r="C9" s="2" t="s">
        <v>28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f>AVERAGE(Table2[[#This Row],[bhagams4063]:[vemuriu6191]])</f>
        <v>1</v>
      </c>
    </row>
    <row r="10" spans="1:14" ht="60" x14ac:dyDescent="0.5">
      <c r="A10" t="s">
        <v>29</v>
      </c>
      <c r="B10">
        <v>5</v>
      </c>
      <c r="C10" s="2" t="s">
        <v>30</v>
      </c>
      <c r="D10">
        <v>0.75</v>
      </c>
      <c r="E10">
        <v>0.5</v>
      </c>
      <c r="F10">
        <v>1</v>
      </c>
      <c r="G10">
        <v>0.75</v>
      </c>
      <c r="H10">
        <v>1</v>
      </c>
      <c r="I10">
        <v>0.5</v>
      </c>
      <c r="J10">
        <v>0.5</v>
      </c>
      <c r="K10">
        <v>0.75</v>
      </c>
      <c r="L10">
        <v>1</v>
      </c>
      <c r="M10">
        <v>1</v>
      </c>
      <c r="N10">
        <f>AVERAGE(Table2[[#This Row],[bhagams4063]:[vemuriu6191]])</f>
        <v>0.77500000000000002</v>
      </c>
    </row>
    <row r="11" spans="1:14" ht="75" x14ac:dyDescent="0.5">
      <c r="A11" t="s">
        <v>31</v>
      </c>
      <c r="B11">
        <v>5</v>
      </c>
      <c r="C11" s="2" t="s">
        <v>32</v>
      </c>
      <c r="D11">
        <v>0.5</v>
      </c>
      <c r="E11">
        <v>0.25</v>
      </c>
      <c r="F11">
        <v>1</v>
      </c>
      <c r="G11">
        <v>0</v>
      </c>
      <c r="H11">
        <v>0.75</v>
      </c>
      <c r="I11">
        <v>0.25</v>
      </c>
      <c r="J11">
        <v>0</v>
      </c>
      <c r="K11">
        <v>0.25</v>
      </c>
      <c r="L11">
        <v>1</v>
      </c>
      <c r="M11">
        <v>0.75</v>
      </c>
      <c r="N11">
        <f>AVERAGE(Table2[[#This Row],[bhagams4063]:[vemuriu6191]])</f>
        <v>0.47499999999999998</v>
      </c>
    </row>
    <row r="12" spans="1:14" ht="75" x14ac:dyDescent="0.5">
      <c r="A12" t="s">
        <v>33</v>
      </c>
      <c r="B12">
        <v>5</v>
      </c>
      <c r="C12" s="2" t="s">
        <v>34</v>
      </c>
      <c r="D12">
        <v>0.25</v>
      </c>
      <c r="E12">
        <v>0</v>
      </c>
      <c r="F12">
        <v>1</v>
      </c>
      <c r="G12">
        <v>0.25</v>
      </c>
      <c r="H12">
        <v>0.75</v>
      </c>
      <c r="I12">
        <v>0</v>
      </c>
      <c r="J12">
        <v>0.25</v>
      </c>
      <c r="K12">
        <v>0</v>
      </c>
      <c r="L12">
        <v>0.75</v>
      </c>
      <c r="M12">
        <v>0.75</v>
      </c>
      <c r="N12">
        <f>AVERAGE(Table2[[#This Row],[bhagams4063]:[vemuriu6191]])</f>
        <v>0.4</v>
      </c>
    </row>
    <row r="13" spans="1:14" ht="75" x14ac:dyDescent="0.5">
      <c r="A13" t="s">
        <v>35</v>
      </c>
      <c r="B13">
        <v>5</v>
      </c>
      <c r="C13" s="2" t="s">
        <v>36</v>
      </c>
      <c r="D13">
        <v>0.75</v>
      </c>
      <c r="E13">
        <v>0</v>
      </c>
      <c r="F13">
        <v>0.75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0.5</v>
      </c>
      <c r="N13">
        <f>AVERAGE(Table2[[#This Row],[bhagams4063]:[vemuriu6191]])</f>
        <v>0.3</v>
      </c>
    </row>
    <row r="14" spans="1:14" x14ac:dyDescent="0.5">
      <c r="A14" t="s">
        <v>37</v>
      </c>
      <c r="B14">
        <f>SUBTOTAL(109,Table2[Score])</f>
        <v>100</v>
      </c>
      <c r="C14" s="1">
        <f>SUBTOTAL(103,Table2[Description])</f>
        <v>12</v>
      </c>
      <c r="D14">
        <f>SUMPRODUCT($B$2:$B$13, Table2[bhagams4063])</f>
        <v>88.75</v>
      </c>
      <c r="E14">
        <f>SUMPRODUCT($B$2:$B$13, Table2[dahiyav6175])</f>
        <v>81.25</v>
      </c>
      <c r="F14">
        <f>SUMPRODUCT($B$2:$B$13, Table2[janumalas4078])</f>
        <v>98.75</v>
      </c>
      <c r="G14">
        <f>SUMPRODUCT($B$2:$B$13, Table2[karuturim2445])</f>
        <v>72.5</v>
      </c>
      <c r="H14">
        <f>SUMPRODUCT($B$2:$B$13, Table2[sirasanambeth2444])</f>
        <v>90</v>
      </c>
      <c r="I14">
        <f>SUMPRODUCT($B$2:$B$13, Table2[somepallik7697])</f>
        <v>81.25</v>
      </c>
      <c r="J14">
        <f>SUMPRODUCT($B$2:$B$13, Table2[sotomayorj1594])</f>
        <v>81.25</v>
      </c>
      <c r="K14">
        <f>SUMPRODUCT($B$2:$B$13, Table2[tanuboddys9697])</f>
        <v>82.5</v>
      </c>
      <c r="L14">
        <f>SUMPRODUCT($B$2:$B$13, Table2[uppalh8095])</f>
        <v>98.75</v>
      </c>
      <c r="M14">
        <f>SUMPRODUCT($B$2:$B$13, Table2[vemuriu6191])</f>
        <v>77.5</v>
      </c>
    </row>
  </sheetData>
  <phoneticPr fontId="6" type="noConversion"/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573B7C3B5850438E0927002E0772CF" ma:contentTypeVersion="4" ma:contentTypeDescription="Create a new document." ma:contentTypeScope="" ma:versionID="6d48eae3a268c5cace72f7336b464f30">
  <xsd:schema xmlns:xsd="http://www.w3.org/2001/XMLSchema" xmlns:xs="http://www.w3.org/2001/XMLSchema" xmlns:p="http://schemas.microsoft.com/office/2006/metadata/properties" xmlns:ns2="347c1e00-d0ed-47e9-a38b-bef06117a4c8" targetNamespace="http://schemas.microsoft.com/office/2006/metadata/properties" ma:root="true" ma:fieldsID="1da971900fecc6f6ee19b2784d874910" ns2:_="">
    <xsd:import namespace="347c1e00-d0ed-47e9-a38b-bef06117a4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1e00-d0ed-47e9-a38b-bef06117a4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66CBE5-2CC8-4F3D-BB5D-3BD77C9D33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E207B3-47C3-410A-9E6C-ABED3BC8AE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7c1e00-d0ed-47e9-a38b-bef06117a4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2024-02-14T23:08:38Z</dcterms:created>
  <dcterms:modified xsi:type="dcterms:W3CDTF">2024-02-22T12:40:14Z</dcterms:modified>
  <cp:category/>
  <cp:contentStatus/>
</cp:coreProperties>
</file>