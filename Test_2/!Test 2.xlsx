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15"/>
  <workbookPr filterPrivacy="1"/>
  <xr:revisionPtr revIDLastSave="571" documentId="11_10E96701BEAD2527AE6B66AB3929656239AFD25E" xr6:coauthVersionLast="47" xr6:coauthVersionMax="47" xr10:uidLastSave="{126F1187-F94A-4086-A15F-E9095E31F5CE}"/>
  <bookViews>
    <workbookView xWindow="8" yWindow="0" windowWidth="23985" windowHeight="12780" xr2:uid="{00000000-000D-0000-FFFF-FFFF00000000}"/>
  </bookViews>
  <sheets>
    <sheet name="Test 2"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a="1"/>
  <c r="E12" i="1" s="1"/>
  <c r="E20" i="1" s="1" a="1"/>
  <c r="E20" i="1" s="1"/>
  <c r="F12" i="1" a="1"/>
  <c r="F12" i="1" s="1"/>
  <c r="F20" i="1" s="1" a="1"/>
  <c r="F20" i="1" s="1"/>
  <c r="G12" i="1" a="1"/>
  <c r="G12" i="1" s="1"/>
  <c r="G20" i="1" s="1" a="1"/>
  <c r="G20" i="1" s="1"/>
  <c r="H12" i="1" a="1"/>
  <c r="H12" i="1" s="1"/>
  <c r="H20" i="1" s="1" a="1"/>
  <c r="H20" i="1" s="1"/>
  <c r="I12" i="1" a="1"/>
  <c r="I12" i="1" s="1"/>
  <c r="I20" i="1" s="1" a="1"/>
  <c r="I20" i="1" s="1"/>
  <c r="J12" i="1" a="1"/>
  <c r="J12" i="1" s="1"/>
  <c r="J20" i="1" s="1" a="1"/>
  <c r="J20" i="1" s="1"/>
  <c r="K12" i="1" a="1"/>
  <c r="K12" i="1" s="1"/>
  <c r="K20" i="1" s="1" a="1"/>
  <c r="K20" i="1" s="1"/>
  <c r="L12" i="1" a="1"/>
  <c r="L12" i="1" s="1"/>
  <c r="L20" i="1" s="1" a="1"/>
  <c r="L20" i="1" s="1"/>
  <c r="M12" i="1" a="1"/>
  <c r="M12" i="1" s="1"/>
  <c r="M20" i="1" s="1" a="1"/>
  <c r="M20" i="1" s="1"/>
  <c r="D12" i="1" a="1"/>
  <c r="D12" i="1" s="1"/>
  <c r="D20" i="1" s="1" a="1"/>
  <c r="D20" i="1" s="1"/>
  <c r="C20" i="1"/>
  <c r="B2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<sst xmlns="http://schemas.openxmlformats.org/spreadsheetml/2006/main" count="100" uniqueCount="83">
  <si>
    <t>Test 2 (207574)</t>
  </si>
  <si>
    <t>Score</t>
  </si>
  <si>
    <t>Description</t>
  </si>
  <si>
    <t>bhagams4063</t>
  </si>
  <si>
    <t>dahiyav6175</t>
  </si>
  <si>
    <t>janumalas4078</t>
  </si>
  <si>
    <t>karuturim2445</t>
  </si>
  <si>
    <t>sirasanambeth2444</t>
  </si>
  <si>
    <t>somepallik7697</t>
  </si>
  <si>
    <t>sotomayorj1594</t>
  </si>
  <si>
    <t>tanuboddys9697</t>
  </si>
  <si>
    <t>uppalh8095</t>
  </si>
  <si>
    <t>vemuriu6191</t>
  </si>
  <si>
    <t>A1</t>
  </si>
  <si>
    <t>① Create and test the function that accepts an integer array.</t>
  </si>
  <si>
    <t>1 missing code - most likely your code is deleted on the computer so we won't be able to retrieve it if you have done that. I set your score based on your first Problem B code, but next time, always double-check your work. Please!</t>
  </si>
  <si>
    <t>A2</t>
  </si>
  <si>
    <t>② The function then calculates and returns the average of all the values that EXCEED the running average of their previous numbers.</t>
  </si>
  <si>
    <t>0.75 bsaed on the first B2: should start from 0, not -1</t>
  </si>
  <si>
    <t>0.5 somewhat calculated the average</t>
  </si>
  <si>
    <t>A2b</t>
  </si>
  <si>
    <t>②ⓑ If a value doesn’t have any previous values, that value will not be considered in the average.</t>
  </si>
  <si>
    <t>0.5 not carefully treated</t>
  </si>
  <si>
    <t>1 based on the first B3</t>
  </si>
  <si>
    <t>0 ignored</t>
  </si>
  <si>
    <t>A2c</t>
  </si>
  <si>
    <t>②ⓒ The running average of all the previous numbers is calculated by taking the sum divided by the count starting from the first element till the previous element.</t>
  </si>
  <si>
    <t>0.75 wrong location or index</t>
  </si>
  <si>
    <t>0.75 based the first B4 -&lt; instead of ==; minIndex should be initialized to -1.</t>
  </si>
  <si>
    <t>0.5 got prevsum correct.</t>
  </si>
  <si>
    <t>A3</t>
  </si>
  <si>
    <t>③ If the function cannot determine any such values, it returns zero.</t>
  </si>
  <si>
    <t>0.5 ignored count</t>
  </si>
  <si>
    <t>0.75 based on the first B5 - running O(n²): introduced visited array.</t>
  </si>
  <si>
    <t>0.75 didn't check for null/Length= 0</t>
  </si>
  <si>
    <t>0.5 return 0 at the wrong place.</t>
  </si>
  <si>
    <t>0.75 null.Length is an exception</t>
  </si>
  <si>
    <t>B1</t>
  </si>
  <si>
    <t>❶ Create and test the method that accepts an array.</t>
  </si>
  <si>
    <t>1 Please go over the selection sort, and see how you can apply that algorithm to this problem. However, instead of finding min from the original array, you should search from the newArray using the offset indexes (with control variables: previous start and end index). See notes.</t>
  </si>
  <si>
    <t>1 Please go over the selection sort, and see how you can apply that algorithm into this problem. However, instead of finding min from the original array, you should search from the newArray using the offset indexes (with control variables: previous start and end index).</t>
  </si>
  <si>
    <t>1 Good job. This is an expansion of the selection sort. But, I think you should be able to do this type of problem quicker next time.</t>
  </si>
  <si>
    <t>B2</t>
  </si>
  <si>
    <t>❷ The method creates and returns a new array newArray that essentially has a length of array.Length*(array.Length + 1)/2. ❸  First, copy all the values from the original array into the newArray.</t>
  </si>
  <si>
    <t>0.75 should be outside the loop.</t>
  </si>
  <si>
    <t>1 based on the second Problem B code</t>
  </si>
  <si>
    <t>0.9 Use a for loop, not Array.Copy</t>
  </si>
  <si>
    <t>0.5 outside the loop, and use a for loop please!</t>
  </si>
  <si>
    <t>B3</t>
  </si>
  <si>
    <t>❹ Within the nested loop, insert all the previously inserted values,</t>
  </si>
  <si>
    <t>0 based on the second Problem B code</t>
  </si>
  <si>
    <t>0.5 good try</t>
  </si>
  <si>
    <t>B4</t>
  </si>
  <si>
    <t>❹  excluding one of their smallest values, into the newArray.</t>
  </si>
  <si>
    <t>0.5 searching the wrong array.</t>
  </si>
  <si>
    <t>0.5 based on the second Problem B code</t>
  </si>
  <si>
    <t>0.75 min needs to be reinitialized.</t>
  </si>
  <si>
    <t>0 irrelevant code</t>
  </si>
  <si>
    <t>B5</t>
  </si>
  <si>
    <t>❺ Iterate through Step 4 until there are no more elements to insert.  ❻ For maximum credit, your time complexity should be O(n²). The space complexity should be O(n²) for the result array. Do not create an additional array. Do not sort the array.</t>
  </si>
  <si>
    <t>0.25 based on the second Problem B code running O(n³)</t>
  </si>
  <si>
    <t>0.25 you have nested loop, but that's about it.</t>
  </si>
  <si>
    <t>0 O(n⁴), not O(n²), as iterating through newArray² is O(n²)²=O(n⁴)</t>
  </si>
  <si>
    <t>0.25 not doing much here</t>
  </si>
  <si>
    <t>0.25 running O(n³)</t>
  </si>
  <si>
    <t>B</t>
  </si>
  <si>
    <t>We will have a makeup Test for Problem B on nested loops during the first half of the class on April 10th. You are expected to complete the code within 90 minutes, not 2 or 3 hours!! So, please practice the old HW problems on nested loops. Your makeup Test 2 Problem B will replace the existing score from Problem B (50% of your overall Test 2 score) if it's higher than your existing Problem B score.</t>
  </si>
  <si>
    <t>C1</t>
  </si>
  <si>
    <t>⓵ Create a function named f(x, b, c) that accepts three arguments: a) Integer x; b) An integer b; c) Positive integer c</t>
  </si>
  <si>
    <t>0 not considered here</t>
  </si>
  <si>
    <t>C2</t>
  </si>
  <si>
    <t>⓶ The function then calculates and returns the integer value from the following equation: f(x;b,c)=x²+bx−c</t>
  </si>
  <si>
    <t>C3</t>
  </si>
  <si>
    <t>⓷ Create and test this second function called “FindRoot” that accepts two positive integers: integer b and positive c.</t>
  </si>
  <si>
    <t>C4</t>
  </si>
  <si>
    <t xml:space="preserve">⓸ The “FindRoot” function uses the binary search algorithm to find the positive integer root x of the Parabola function by calling the first function </t>
  </si>
  <si>
    <t>C5</t>
  </si>
  <si>
    <t>⓹ Since we are searching for the positive root, we need to locate the search region between 1 and the high value (since the root has to be positive): a)     To estimate the high value, we’ll iteratively double the search value starting from the value 1 until f(high) &gt;= 0.</t>
  </si>
  <si>
    <t>C6</t>
  </si>
  <si>
    <t>⓺ Having determined the high value, use the binary search to locate the integer root that intersects the x-axis.</t>
  </si>
  <si>
    <t>C7</t>
  </si>
  <si>
    <t>⓻ Time complexity: o(log n). Space complexity: O(1)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</si>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</sst>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 fontId="0" fillId="0" borderId="0" xfId="0" applyNumberFormat="1"/>
  </cellXfs>
  <cellStyles count="1">
    <cellStyle name="Normal" xfId="0" builtinId="0"/>
  </cellStyles>
  <dxfs count="1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hcl0.sharepoint.com/sites/ISAM5430.01SP24AdvAppDevwithC10106-commons/Shared%20Documents/commons/Test%202%20Makeup/_rubric/!Test%202%20Makeup.xlsx" TargetMode="External"/><Relationship Id="rId1" Type="http://schemas.openxmlformats.org/officeDocument/2006/relationships/externalLinkPath" Target="/sites/ISAM5430.01SP24AdvAppDevwithC10106-commons/Shared%20Documents/commons/Test%202%20Makeup/_rubric/!Test%202%20Make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st 2 Makeup"/>
      <sheetName val="!Test 2 Makeup"/>
    </sheetNames>
    <sheetDataSet>
      <sheetData sheetId="0"/>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_2" displayName="Test_2" ref="A1:M20" totalsRowCount="1">
  <autoFilter ref="A1:M19" xr:uid="{00000000-0009-0000-0100-000001000000}"/>
  <tableColumns count="13">
    <tableColumn id="1" xr3:uid="{00000000-0010-0000-0000-000001000000}" name="Test 2 (207574)" totalsRowLabel="Total"/>
    <tableColumn id="2" xr3:uid="{00000000-0010-0000-0000-000002000000}" name="Score" totalsRowFunction="sum"/>
    <tableColumn id="3" xr3:uid="{00000000-0010-0000-0000-000003000000}" name="Description" totalsRowFunction="count" totalsRowDxfId="10"/>
    <tableColumn id="4" xr3:uid="{00000000-0010-0000-0000-000004000000}" name="bhagams4063" totalsRowFunction="custom" totalsRowDxfId="9">
      <totalsRowFormula array="1" xml:space="preserve"> SUMPRODUCT(IFERROR(VALUE(LEFT(Test_2[bhagams4063], FIND(" ",Test_2[bhagams4063]))),Test_2[bhagams4063]),Test_2[Score])</totalsRowFormula>
    </tableColumn>
    <tableColumn id="5" xr3:uid="{00000000-0010-0000-0000-000005000000}" name="dahiyav6175" totalsRowFunction="custom" totalsRowDxfId="8">
      <totalsRowFormula array="1" xml:space="preserve"> SUMPRODUCT(IFERROR(VALUE(LEFT(Test_2[dahiyav6175], FIND(" ",Test_2[dahiyav6175]))),Test_2[dahiyav6175]),Test_2[Score])</totalsRowFormula>
    </tableColumn>
    <tableColumn id="6" xr3:uid="{00000000-0010-0000-0000-000006000000}" name="janumalas4078" totalsRowFunction="custom" totalsRowDxfId="7">
      <totalsRowFormula array="1" xml:space="preserve"> SUMPRODUCT(IFERROR(VALUE(LEFT(Test_2[janumalas4078], FIND(" ",Test_2[janumalas4078]))),Test_2[janumalas4078]),Test_2[Score])</totalsRowFormula>
    </tableColumn>
    <tableColumn id="7" xr3:uid="{00000000-0010-0000-0000-000007000000}" name="karuturim2445" totalsRowFunction="custom" totalsRowDxfId="6">
      <totalsRowFormula array="1" xml:space="preserve"> SUMPRODUCT(IFERROR(VALUE(LEFT(Test_2[karuturim2445], FIND(" ",Test_2[karuturim2445]))),Test_2[karuturim2445]),Test_2[Score])</totalsRowFormula>
    </tableColumn>
    <tableColumn id="8" xr3:uid="{00000000-0010-0000-0000-000008000000}" name="sirasanambeth2444" totalsRowFunction="custom" totalsRowDxfId="5">
      <totalsRowFormula array="1" xml:space="preserve"> SUMPRODUCT(IFERROR(VALUE(LEFT(Test_2[sirasanambeth2444], FIND(" ",Test_2[sirasanambeth2444]))),Test_2[sirasanambeth2444]),VALUE(Test_2[Score]))</totalsRowFormula>
    </tableColumn>
    <tableColumn id="9" xr3:uid="{00000000-0010-0000-0000-000009000000}" name="somepallik7697" totalsRowFunction="custom" totalsRowDxfId="4">
      <totalsRowFormula array="1" xml:space="preserve"> SUMPRODUCT(IFERROR(VALUE(LEFT(Test_2[somepallik7697], FIND(" ",Test_2[somepallik7697]))),Test_2[somepallik7697]),Test_2[Score])</totalsRowFormula>
    </tableColumn>
    <tableColumn id="10" xr3:uid="{00000000-0010-0000-0000-00000A000000}" name="sotomayorj1594" totalsRowFunction="custom" totalsRowDxfId="3">
      <totalsRowFormula array="1" xml:space="preserve"> SUMPRODUCT(IFERROR(VALUE(LEFT(Test_2[sotomayorj1594], FIND(" ",Test_2[sotomayorj1594]))),Test_2[sotomayorj1594]),Test_2[Score])</totalsRowFormula>
    </tableColumn>
    <tableColumn id="11" xr3:uid="{00000000-0010-0000-0000-00000B000000}" name="tanuboddys9697" totalsRowFunction="custom" totalsRowDxfId="2">
      <totalsRowFormula array="1" xml:space="preserve"> SUMPRODUCT(IFERROR(VALUE(LEFT(Test_2[tanuboddys9697], FIND(" ",Test_2[tanuboddys9697]))),Test_2[tanuboddys9697]),Test_2[Score])</totalsRowFormula>
    </tableColumn>
    <tableColumn id="12" xr3:uid="{00000000-0010-0000-0000-00000C000000}" name="uppalh8095" totalsRowFunction="custom" totalsRowDxfId="1">
      <totalsRowFormula array="1" xml:space="preserve"> SUMPRODUCT(IFERROR(VALUE(LEFT(Test_2[uppalh8095], FIND(" ",Test_2[uppalh8095]))),Test_2[uppalh8095]),Test_2[Score])</totalsRowFormula>
    </tableColumn>
    <tableColumn id="13" xr3:uid="{00000000-0010-0000-0000-00000D000000}" name="vemuriu6191" totalsRowFunction="custom" totalsRowDxfId="0">
      <totalsRowFormula array="1" xml:space="preserve"> SUMPRODUCT(IFERROR(VALUE(LEFT(Test_2[vemuriu6191], FIND(" ",Test_2[vemuriu6191]))),Test_2[vemuriu6191]),Test_2[Score])</totalsRowFormula>
    </tableColumn>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tabSelected="1" workbookViewId="0">
      <pane xSplit="3" ySplit="1" topLeftCell="D6" activePane="bottomRight" state="frozen"/>
      <selection pane="bottomRight" activeCell="F14" sqref="F14"/>
      <selection pane="bottomLeft"/>
      <selection pane="topRight"/>
    </sheetView>
  </sheetViews>
  <sheetFormatPr defaultRowHeight="15"/>
  <cols>
    <col min="1" max="2" width="8" customWidth="1"/>
    <col min="3" max="3" width="50" style="1" customWidth="1"/>
  </cols>
  <sheetData>
    <row r="1" spans="1:13">
      <c r="A1" t="s">
        <v>0</v>
      </c>
      <c r="B1" t="s">
        <v>1</v>
      </c>
      <c r="C1" s="1" t="s">
        <v>2</v>
      </c>
      <c r="D1" s="2" t="s">
        <v>3</v>
      </c>
      <c r="E1" s="2" t="s">
        <v>4</v>
      </c>
      <c r="F1" s="2" t="s">
        <v>5</v>
      </c>
      <c r="G1" s="2" t="s">
        <v>6</v>
      </c>
      <c r="H1" s="2" t="s">
        <v>7</v>
      </c>
      <c r="I1" s="2" t="s">
        <v>8</v>
      </c>
      <c r="J1" s="2" t="s">
        <v>9</v>
      </c>
      <c r="K1" s="2" t="s">
        <v>10</v>
      </c>
      <c r="L1" s="2" t="s">
        <v>11</v>
      </c>
      <c r="M1" s="2" t="s">
        <v>12</v>
      </c>
    </row>
    <row r="2" spans="1:13" ht="30">
      <c r="A2" t="s">
        <v>13</v>
      </c>
      <c r="B2">
        <v>10</v>
      </c>
      <c r="C2" s="1" t="s">
        <v>14</v>
      </c>
      <c r="D2">
        <v>1</v>
      </c>
      <c r="E2">
        <v>1</v>
      </c>
      <c r="F2" t="s">
        <v>15</v>
      </c>
      <c r="G2">
        <v>1</v>
      </c>
      <c r="H2">
        <v>1</v>
      </c>
      <c r="I2">
        <v>1</v>
      </c>
      <c r="J2">
        <v>1</v>
      </c>
      <c r="K2">
        <v>1</v>
      </c>
      <c r="L2">
        <v>1</v>
      </c>
      <c r="M2">
        <v>1</v>
      </c>
    </row>
    <row r="3" spans="1:13" ht="45">
      <c r="A3" t="s">
        <v>16</v>
      </c>
      <c r="B3">
        <v>10</v>
      </c>
      <c r="C3" s="1" t="s">
        <v>17</v>
      </c>
      <c r="D3">
        <v>1</v>
      </c>
      <c r="E3">
        <v>1</v>
      </c>
      <c r="F3" t="s">
        <v>18</v>
      </c>
      <c r="G3">
        <v>1</v>
      </c>
      <c r="H3">
        <v>1</v>
      </c>
      <c r="I3">
        <v>1</v>
      </c>
      <c r="J3">
        <v>1</v>
      </c>
      <c r="K3" t="s">
        <v>19</v>
      </c>
      <c r="L3">
        <v>1</v>
      </c>
      <c r="M3">
        <v>1</v>
      </c>
    </row>
    <row r="4" spans="1:13" ht="30">
      <c r="A4" t="s">
        <v>20</v>
      </c>
      <c r="B4">
        <v>10</v>
      </c>
      <c r="C4" s="1" t="s">
        <v>21</v>
      </c>
      <c r="D4" t="s">
        <v>22</v>
      </c>
      <c r="E4">
        <v>1</v>
      </c>
      <c r="F4" t="s">
        <v>23</v>
      </c>
      <c r="G4">
        <v>1</v>
      </c>
      <c r="H4" t="s">
        <v>24</v>
      </c>
      <c r="I4" t="s">
        <v>24</v>
      </c>
      <c r="J4">
        <v>1</v>
      </c>
      <c r="K4" t="s">
        <v>24</v>
      </c>
      <c r="L4">
        <v>1</v>
      </c>
      <c r="M4" t="s">
        <v>24</v>
      </c>
    </row>
    <row r="5" spans="1:13" ht="60">
      <c r="A5" t="s">
        <v>25</v>
      </c>
      <c r="B5">
        <v>10</v>
      </c>
      <c r="C5" s="1" t="s">
        <v>26</v>
      </c>
      <c r="D5" t="s">
        <v>27</v>
      </c>
      <c r="E5" t="s">
        <v>27</v>
      </c>
      <c r="F5" t="s">
        <v>28</v>
      </c>
      <c r="G5">
        <v>1</v>
      </c>
      <c r="H5" t="s">
        <v>27</v>
      </c>
      <c r="I5" t="s">
        <v>27</v>
      </c>
      <c r="J5">
        <v>1</v>
      </c>
      <c r="K5" t="s">
        <v>29</v>
      </c>
      <c r="L5">
        <v>1</v>
      </c>
      <c r="M5" t="s">
        <v>27</v>
      </c>
    </row>
    <row r="6" spans="1:13" ht="30">
      <c r="A6" t="s">
        <v>30</v>
      </c>
      <c r="B6">
        <v>10</v>
      </c>
      <c r="C6" s="1" t="s">
        <v>31</v>
      </c>
      <c r="D6">
        <v>1</v>
      </c>
      <c r="E6" t="s">
        <v>32</v>
      </c>
      <c r="F6" t="s">
        <v>33</v>
      </c>
      <c r="G6">
        <v>1</v>
      </c>
      <c r="H6" t="s">
        <v>34</v>
      </c>
      <c r="I6" t="s">
        <v>35</v>
      </c>
      <c r="J6">
        <v>1</v>
      </c>
      <c r="K6" t="s">
        <v>24</v>
      </c>
      <c r="L6" t="s">
        <v>36</v>
      </c>
      <c r="M6" t="s">
        <v>34</v>
      </c>
    </row>
    <row r="7" spans="1:13">
      <c r="A7" t="s">
        <v>37</v>
      </c>
      <c r="B7">
        <v>10</v>
      </c>
      <c r="C7" s="1" t="s">
        <v>38</v>
      </c>
      <c r="D7" t="s">
        <v>39</v>
      </c>
      <c r="E7" t="s">
        <v>40</v>
      </c>
      <c r="F7" t="s">
        <v>40</v>
      </c>
      <c r="G7" t="s">
        <v>40</v>
      </c>
      <c r="H7" t="s">
        <v>40</v>
      </c>
      <c r="I7" t="s">
        <v>40</v>
      </c>
      <c r="J7" t="s">
        <v>40</v>
      </c>
      <c r="K7" t="s">
        <v>40</v>
      </c>
      <c r="L7" t="s">
        <v>41</v>
      </c>
      <c r="M7" t="s">
        <v>40</v>
      </c>
    </row>
    <row r="8" spans="1:13" ht="60">
      <c r="A8" t="s">
        <v>42</v>
      </c>
      <c r="B8">
        <v>10</v>
      </c>
      <c r="C8" s="1" t="s">
        <v>43</v>
      </c>
      <c r="D8">
        <v>1</v>
      </c>
      <c r="E8" t="s">
        <v>44</v>
      </c>
      <c r="F8" t="s">
        <v>45</v>
      </c>
      <c r="G8">
        <v>1</v>
      </c>
      <c r="H8">
        <v>1</v>
      </c>
      <c r="I8" t="s">
        <v>46</v>
      </c>
      <c r="J8">
        <v>1</v>
      </c>
      <c r="K8">
        <v>0</v>
      </c>
      <c r="L8">
        <v>1</v>
      </c>
      <c r="M8" t="s">
        <v>47</v>
      </c>
    </row>
    <row r="9" spans="1:13" ht="30">
      <c r="A9" t="s">
        <v>48</v>
      </c>
      <c r="B9">
        <v>10</v>
      </c>
      <c r="C9" s="1" t="s">
        <v>49</v>
      </c>
      <c r="D9">
        <v>0</v>
      </c>
      <c r="E9">
        <v>0</v>
      </c>
      <c r="F9" t="s">
        <v>50</v>
      </c>
      <c r="G9">
        <v>0</v>
      </c>
      <c r="H9" t="s">
        <v>51</v>
      </c>
      <c r="I9">
        <v>0</v>
      </c>
      <c r="J9">
        <v>0</v>
      </c>
      <c r="K9">
        <v>0</v>
      </c>
      <c r="L9">
        <v>1</v>
      </c>
      <c r="M9">
        <v>0</v>
      </c>
    </row>
    <row r="10" spans="1:13" ht="30">
      <c r="A10" t="s">
        <v>52</v>
      </c>
      <c r="B10">
        <v>10</v>
      </c>
      <c r="C10" s="1" t="s">
        <v>53</v>
      </c>
      <c r="D10" t="s">
        <v>54</v>
      </c>
      <c r="E10">
        <v>0.25</v>
      </c>
      <c r="F10" t="s">
        <v>55</v>
      </c>
      <c r="G10">
        <v>0.25</v>
      </c>
      <c r="H10">
        <v>0.5</v>
      </c>
      <c r="I10">
        <v>0.25</v>
      </c>
      <c r="J10">
        <v>0</v>
      </c>
      <c r="K10">
        <v>0</v>
      </c>
      <c r="L10" t="s">
        <v>56</v>
      </c>
      <c r="M10" t="s">
        <v>57</v>
      </c>
    </row>
    <row r="11" spans="1:13" ht="75">
      <c r="A11" t="s">
        <v>58</v>
      </c>
      <c r="B11">
        <v>10</v>
      </c>
      <c r="C11" s="1" t="s">
        <v>59</v>
      </c>
      <c r="D11">
        <v>0.25</v>
      </c>
      <c r="E11">
        <v>0.25</v>
      </c>
      <c r="F11" t="s">
        <v>60</v>
      </c>
      <c r="G11" t="s">
        <v>61</v>
      </c>
      <c r="H11">
        <v>0.5</v>
      </c>
      <c r="I11" t="s">
        <v>62</v>
      </c>
      <c r="J11" t="s">
        <v>63</v>
      </c>
      <c r="K11">
        <v>0</v>
      </c>
      <c r="L11">
        <v>1</v>
      </c>
      <c r="M11" t="s">
        <v>64</v>
      </c>
    </row>
    <row r="12" spans="1:13" ht="120">
      <c r="A12" t="s">
        <v>65</v>
      </c>
      <c r="C12" s="1" t="s">
        <v>66</v>
      </c>
      <c r="D12" s="2" cm="1">
        <f t="array" ref="D12">MAX(0, [1]!Test_2_Makeup[[#Totals],[bhagams4063]]-SUMPRODUCT(IFERROR(VALUE(LEFT(D7:D11, FIND(" ",D7:D11))),D7:D11),$B$7:$B$11))</f>
        <v>12.5</v>
      </c>
      <c r="E12" s="2" cm="1">
        <f t="array" ref="E12">MAX(0, [1]!Test_2_Makeup[[#Totals],[dahiyav6175]]-SUMPRODUCT(IFERROR(VALUE(LEFT(E7:E11, FIND(" ",E7:E11))),E7:E11),$B$7:$B$11))</f>
        <v>2.5</v>
      </c>
      <c r="F12" s="2" cm="1">
        <f t="array" ref="F12">MAX(0, [1]!Test_2_Makeup[[#Totals],[janumalas4078]]-SUMPRODUCT(IFERROR(VALUE(LEFT(F7:F11, FIND(" ",F7:F11))),F7:F11),$B$7:$B$11))</f>
        <v>20</v>
      </c>
      <c r="G12" s="2" cm="1">
        <f t="array" ref="G12">MAX(0, [1]!Test_2_Makeup[[#Totals],[karuturim2445]]-SUMPRODUCT(IFERROR(VALUE(LEFT(G7:G11, FIND(" ",G7:G11))),G7:G11),$B$7:$B$11))</f>
        <v>15</v>
      </c>
      <c r="H12" s="2" cm="1">
        <f t="array" ref="H12">MAX(0, [1]!Test_2_Makeup[[#Totals],[sirasanambeth2444]]-SUMPRODUCT(IFERROR(VALUE(LEFT(H7:H11, FIND(" ",H7:H11))),H7:H11),$B$7:$B$11))</f>
        <v>10</v>
      </c>
      <c r="I12" s="2" cm="1">
        <f t="array" ref="I12">MAX(0, [1]!Test_2_Makeup[[#Totals],[somepallik7697]]-SUMPRODUCT(IFERROR(VALUE(LEFT(I7:I11, FIND(" ",I7:I11))),I7:I11),$B$7:$B$11))</f>
        <v>8.5</v>
      </c>
      <c r="J12" s="2" cm="1">
        <f t="array" ref="J12">MAX(0, [1]!Test_2_Makeup[[#Totals],[sotomayorj1594]]-SUMPRODUCT(IFERROR(VALUE(LEFT(J7:J11, FIND(" ",J7:J11))),J7:J11),$B$7:$B$11))</f>
        <v>2.5</v>
      </c>
      <c r="K12" s="2" cm="1">
        <f t="array" ref="K12">MAX(0, [1]!Test_2_Makeup[[#Totals],[tanuboddys9697]]-SUMPRODUCT(IFERROR(VALUE(LEFT(K7:K11, FIND(" ",K7:K11))),K7:K11),$B$7:$B$11))</f>
        <v>0.75</v>
      </c>
      <c r="L12" s="2" cm="1">
        <f t="array" ref="L12">MAX(0, [1]!Test_2_Makeup[[#Totals],[uppalh8095]]-SUMPRODUCT(IFERROR(VALUE(LEFT(L7:L11, FIND(" ",L7:L11))),L7:L11),$B$7:$B$11))</f>
        <v>0</v>
      </c>
      <c r="M12" s="2" cm="1">
        <f t="array" ref="M12">MAX(0, [1]!Test_2_Makeup[[#Totals],[vemuriu6191]]-SUMPRODUCT(IFERROR(VALUE(LEFT(M7:M11, FIND(" ",M7:M11))),M7:M11),$B$7:$B$11))</f>
        <v>27.5</v>
      </c>
    </row>
    <row r="13" spans="1:13" ht="45">
      <c r="A13" t="s">
        <v>67</v>
      </c>
      <c r="C13" s="1" t="s">
        <v>68</v>
      </c>
      <c r="J13" t="s">
        <v>69</v>
      </c>
    </row>
    <row r="14" spans="1:13" ht="45">
      <c r="A14" t="s">
        <v>70</v>
      </c>
      <c r="C14" s="1" t="s">
        <v>71</v>
      </c>
      <c r="J14" t="s">
        <v>69</v>
      </c>
    </row>
    <row r="15" spans="1:13" ht="45">
      <c r="A15" t="s">
        <v>72</v>
      </c>
      <c r="C15" s="1" t="s">
        <v>73</v>
      </c>
    </row>
    <row r="16" spans="1:13" ht="45">
      <c r="A16" t="s">
        <v>74</v>
      </c>
      <c r="C16" s="1" t="s">
        <v>75</v>
      </c>
    </row>
    <row r="17" spans="1:13" ht="90">
      <c r="A17" t="s">
        <v>76</v>
      </c>
      <c r="C17" s="1" t="s">
        <v>77</v>
      </c>
    </row>
    <row r="18" spans="1:13" ht="45">
      <c r="A18" t="s">
        <v>78</v>
      </c>
      <c r="C18" s="1" t="s">
        <v>79</v>
      </c>
    </row>
    <row r="19" spans="1:13">
      <c r="A19" t="s">
        <v>80</v>
      </c>
      <c r="C19" s="1" t="s">
        <v>81</v>
      </c>
    </row>
    <row r="20" spans="1:13">
      <c r="A20" t="s">
        <v>82</v>
      </c>
      <c r="B20">
        <f>SUBTOTAL(109,Test_2[Score])</f>
        <v>100</v>
      </c>
      <c r="C20" s="1">
        <f>SUBTOTAL(103,Test_2[Description])</f>
        <v>18</v>
      </c>
      <c r="D20" s="2" cm="1">
        <f t="array" ref="D20" xml:space="preserve"> SUMPRODUCT(IFERROR(VALUE(LEFT(Test_2[bhagams4063], FIND(" ",Test_2[bhagams4063]))),Test_2[bhagams4063]),Test_2[Score])</f>
        <v>70</v>
      </c>
      <c r="E20" s="2" cm="1">
        <f t="array" ref="E20" xml:space="preserve"> SUMPRODUCT(IFERROR(VALUE(LEFT(Test_2[dahiyav6175], FIND(" ",Test_2[dahiyav6175]))),Test_2[dahiyav6175]),Test_2[Score])</f>
        <v>65</v>
      </c>
      <c r="F20" s="2" cm="1">
        <f t="array" ref="F20" xml:space="preserve"> SUMPRODUCT(IFERROR(VALUE(LEFT(Test_2[janumalas4078], FIND(" ",Test_2[janumalas4078]))),Test_2[janumalas4078]),Test_2[Score])</f>
        <v>70</v>
      </c>
      <c r="G20" s="2" cm="1">
        <f t="array" ref="G20" xml:space="preserve"> SUMPRODUCT(IFERROR(VALUE(LEFT(Test_2[karuturim2445], FIND(" ",Test_2[karuturim2445]))),Test_2[karuturim2445]),Test_2[Score])</f>
        <v>75</v>
      </c>
      <c r="H20" s="2" cm="1">
        <f t="array" ref="H20" xml:space="preserve"> SUMPRODUCT(IFERROR(VALUE(LEFT(Test_2[sirasanambeth2444], FIND(" ",Test_2[sirasanambeth2444]))),Test_2[sirasanambeth2444]),VALUE(Test_2[Score]))</f>
        <v>70</v>
      </c>
      <c r="I20" s="2" cm="1">
        <f t="array" ref="I20" xml:space="preserve"> SUMPRODUCT(IFERROR(VALUE(LEFT(Test_2[somepallik7697], FIND(" ",Test_2[somepallik7697]))),Test_2[somepallik7697]),Test_2[Score])</f>
        <v>54</v>
      </c>
      <c r="J20" s="2" cm="1">
        <f t="array" ref="J20" xml:space="preserve"> SUMPRODUCT(IFERROR(VALUE(LEFT(Test_2[sotomayorj1594], FIND(" ",Test_2[sotomayorj1594]))),Test_2[sotomayorj1594]),Test_2[Score])</f>
        <v>72.5</v>
      </c>
      <c r="K20" s="2" cm="1">
        <f t="array" ref="K20" xml:space="preserve"> SUMPRODUCT(IFERROR(VALUE(LEFT(Test_2[tanuboddys9697], FIND(" ",Test_2[tanuboddys9697]))),Test_2[tanuboddys9697]),Test_2[Score])</f>
        <v>30</v>
      </c>
      <c r="L20" s="2" cm="1">
        <f t="array" ref="L20" xml:space="preserve"> SUMPRODUCT(IFERROR(VALUE(LEFT(Test_2[uppalh8095], FIND(" ",Test_2[uppalh8095]))),Test_2[uppalh8095]),Test_2[Score])</f>
        <v>95</v>
      </c>
      <c r="M20" s="2" cm="1">
        <f t="array" ref="M20" xml:space="preserve"> SUMPRODUCT(IFERROR(VALUE(LEFT(Test_2[vemuriu6191], FIND(" ",Test_2[vemuriu6191]))),Test_2[vemuriu6191]),Test_2[Score])</f>
        <v>52.5</v>
      </c>
    </row>
  </sheetData>
  <phoneticPr fontId="1" type="noConversion"/>
  <pageMargins left="0.7" right="0.7" top="0.75" bottom="0.75" header="0.3" footer="0.3"/>
  <pageSetup orientation="portrait" horizontalDpi="4294967295" verticalDpi="4294967295"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573B7C3B5850438E0927002E0772CF" ma:contentTypeVersion="4" ma:contentTypeDescription="Create a new document." ma:contentTypeScope="" ma:versionID="6d48eae3a268c5cace72f7336b464f30">
  <xsd:schema xmlns:xsd="http://www.w3.org/2001/XMLSchema" xmlns:xs="http://www.w3.org/2001/XMLSchema" xmlns:p="http://schemas.microsoft.com/office/2006/metadata/properties" xmlns:ns2="347c1e00-d0ed-47e9-a38b-bef06117a4c8" targetNamespace="http://schemas.microsoft.com/office/2006/metadata/properties" ma:root="true" ma:fieldsID="1da971900fecc6f6ee19b2784d874910" ns2:_="">
    <xsd:import namespace="347c1e00-d0ed-47e9-a38b-bef06117a4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7c1e00-d0ed-47e9-a38b-bef06117a4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88D269-7EEA-4D6D-8D72-BA80E78A4029}"/>
</file>

<file path=customXml/itemProps2.xml><?xml version="1.0" encoding="utf-8"?>
<ds:datastoreItem xmlns:ds="http://schemas.openxmlformats.org/officeDocument/2006/customXml" ds:itemID="{6B364450-FECD-4072-B924-482BA419CF93}"/>
</file>

<file path=customXml/itemProps3.xml><?xml version="1.0" encoding="utf-8"?>
<ds:datastoreItem xmlns:ds="http://schemas.openxmlformats.org/officeDocument/2006/customXml" ds:itemID="{420F54C8-1BB4-4A08-9757-D2A969AC87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Wu, Michael Yu-Chi</cp:lastModifiedBy>
  <cp:revision/>
  <dcterms:created xsi:type="dcterms:W3CDTF">2024-03-29T21:14:24Z</dcterms:created>
  <dcterms:modified xsi:type="dcterms:W3CDTF">2024-04-20T20:23:27Z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0x01010077573B7C3B5850438E0927002E0772CF</vt:lpwstr>
  </property>
</Properties>
</file>