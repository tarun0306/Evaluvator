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168" documentId="11_C05AD1DEAFC9AFFA15B84DF8E0B2374F960A3C56" xr6:coauthVersionLast="47" xr6:coauthVersionMax="47" xr10:uidLastSave="{7333D0D0-8B78-4F0D-9D27-5CC70AAB2C2D}"/>
  <bookViews>
    <workbookView xWindow="-120" yWindow="-120" windowWidth="29040" windowHeight="15720" xr2:uid="{00000000-000D-0000-FFFF-FFFF00000000}"/>
  </bookViews>
  <sheets>
    <sheet name="Test 2 Make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B8" i="1"/>
  <c r="C8" i="1"/>
  <c r="N7" i="1" a="1"/>
  <c r="N7" i="1" s="1"/>
  <c r="N6" i="1" a="1"/>
  <c r="N6" i="1" s="1"/>
  <c r="N5" i="1" a="1"/>
  <c r="N5" i="1" s="1"/>
  <c r="N3" i="1" a="1"/>
  <c r="N3" i="1" s="1"/>
  <c r="N4" i="1" a="1"/>
  <c r="N4" i="1" s="1"/>
  <c r="N2" i="1" a="1"/>
  <c r="N2" i="1" s="1"/>
  <c r="N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<sst xmlns="http://schemas.openxmlformats.org/spreadsheetml/2006/main" count="27" uniqueCount="27">
  <si>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Test 2 (Makeup) (244399)</t>
  </si>
  <si>
    <t>Score</t>
  </si>
  <si>
    <t>Description</t>
  </si>
  <si>
    <t>bhagams4063</t>
  </si>
  <si>
    <t>dahiyav6175</t>
  </si>
  <si>
    <t>janumalas4078</t>
  </si>
  <si>
    <t>karuturim2445</t>
  </si>
  <si>
    <t>sirasanambeth2444</t>
  </si>
  <si>
    <t>somepallik7697</t>
  </si>
  <si>
    <t>sotomayorj1594</t>
  </si>
  <si>
    <t>tanuboddys9697</t>
  </si>
  <si>
    <t>uppalh8095</t>
  </si>
  <si>
    <t>vemuriu6191</t>
  </si>
  <si>
    <t>(MEAN)</t>
  </si>
  <si>
    <t>B1</t>
  </si>
  <si>
    <t>1) Create and test a method that accepts the following two parameters: an array of integers and integer n.</t>
  </si>
  <si>
    <t>B2</t>
  </si>
  <si>
    <t>2) When the value of n is negative or zero OR when the array of integers is null or empty, the method simply returns a null.</t>
  </si>
  <si>
    <t>B3</t>
  </si>
  <si>
    <t>3a) The method returns an array of integers that has a length of n(length - 1) + 1: 3b) The first step is to first copy all the values from the original array to the end of the return array.</t>
  </si>
  <si>
    <t>B4</t>
  </si>
  <si>
    <t>3) Inner Loops: multiply the appropriate elements based on how the polynomial is multiplied in the array.</t>
  </si>
  <si>
    <t>B5</t>
  </si>
  <si>
    <t>3) Inner Loops: Shift and sum up the coefficients</t>
  </si>
  <si>
    <t>B6</t>
  </si>
  <si>
    <t>3) Outer Loop: Repeat the process for n - 1 times.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</si>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</sst>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1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2_Makeup" displayName="Test_2_Makeup" ref="A1:N8" totalsRowCount="1">
  <autoFilter ref="A1:N7" xr:uid="{00000000-0009-0000-0100-000001000000}">
    <filterColumn colId="13" hiddenButton="1"/>
  </autoFilter>
  <tableColumns count="14">
    <tableColumn id="1" xr3:uid="{00000000-0010-0000-0000-000001000000}" name="Test 2 (Makeup) (244399)" totalsRowLabel="Total"/>
    <tableColumn id="2" xr3:uid="{00000000-0010-0000-0000-000002000000}" name="Score" totalsRowFunction="sum"/>
    <tableColumn id="3" xr3:uid="{00000000-0010-0000-0000-000003000000}" name="Description" totalsRowFunction="count" totalsRowDxfId="10"/>
    <tableColumn id="4" xr3:uid="{00000000-0010-0000-0000-000004000000}" name="bhagams4063" totalsRowFunction="custom" totalsRowDxfId="9">
      <totalsRowFormula>SUMPRODUCT(IFERROR(VALUE(LEFT(Test_2_Makeup[[#This Row],[bhagams4063]], FIND(" ",Test_2_Makeup[[#This Row],[bhagams4063]]))),Test_2_Makeup[bhagams4063]),Test_2_Makeup[Score])</totalsRowFormula>
    </tableColumn>
    <tableColumn id="5" xr3:uid="{00000000-0010-0000-0000-000005000000}" name="dahiyav6175" totalsRowFunction="custom" totalsRowDxfId="8">
      <totalsRowFormula>SUMPRODUCT(IFERROR(VALUE(LEFT(Test_2_Makeup[[#This Row],[dahiyav6175]], FIND(" ",Test_2_Makeup[[#This Row],[dahiyav6175]]))),Test_2_Makeup[dahiyav6175]),Test_2_Makeup[Score])</totalsRowFormula>
    </tableColumn>
    <tableColumn id="6" xr3:uid="{00000000-0010-0000-0000-000006000000}" name="janumalas4078" totalsRowFunction="custom" totalsRowDxfId="7">
      <totalsRowFormula>SUMPRODUCT(IFERROR(VALUE(LEFT(Test_2_Makeup[[#This Row],[janumalas4078]], FIND(" ",Test_2_Makeup[[#This Row],[janumalas4078]]))),Test_2_Makeup[janumalas4078]),Test_2_Makeup[Score])</totalsRowFormula>
    </tableColumn>
    <tableColumn id="7" xr3:uid="{00000000-0010-0000-0000-000007000000}" name="karuturim2445" totalsRowFunction="custom" totalsRowDxfId="6">
      <totalsRowFormula>SUMPRODUCT(IFERROR(VALUE(LEFT(Test_2_Makeup[[#This Row],[karuturim2445]], FIND(" ",Test_2_Makeup[[#This Row],[karuturim2445]]))),Test_2_Makeup[karuturim2445]),Test_2_Makeup[Score])</totalsRowFormula>
    </tableColumn>
    <tableColumn id="8" xr3:uid="{00000000-0010-0000-0000-000008000000}" name="sirasanambeth2444" totalsRowFunction="custom" totalsRowDxfId="5">
      <totalsRowFormula>SUMPRODUCT(IFERROR(VALUE(LEFT(Test_2_Makeup[[#This Row],[sirasanambeth2444]], FIND(" ",Test_2_Makeup[[#This Row],[sirasanambeth2444]]))),Test_2_Makeup[sirasanambeth2444]),Test_2_Makeup[Score])</totalsRowFormula>
    </tableColumn>
    <tableColumn id="9" xr3:uid="{00000000-0010-0000-0000-000009000000}" name="somepallik7697" totalsRowFunction="custom" totalsRowDxfId="4">
      <totalsRowFormula>SUMPRODUCT(IFERROR(VALUE(LEFT(Test_2_Makeup[[#This Row],[somepallik7697]], FIND(" ",Test_2_Makeup[[#This Row],[somepallik7697]]))),Test_2_Makeup[somepallik7697]),Test_2_Makeup[Score])</totalsRowFormula>
    </tableColumn>
    <tableColumn id="10" xr3:uid="{00000000-0010-0000-0000-00000A000000}" name="sotomayorj1594" totalsRowFunction="custom" totalsRowDxfId="3">
      <totalsRowFormula>SUMPRODUCT(IFERROR(VALUE(LEFT(Test_2_Makeup[[#This Row],[sotomayorj1594]], FIND(" ",Test_2_Makeup[[#This Row],[sotomayorj1594]]))),Test_2_Makeup[sotomayorj1594]),Test_2_Makeup[Score])</totalsRowFormula>
    </tableColumn>
    <tableColumn id="11" xr3:uid="{00000000-0010-0000-0000-00000B000000}" name="tanuboddys9697" totalsRowFunction="custom" totalsRowDxfId="2">
      <totalsRowFormula>SUMPRODUCT(IFERROR(VALUE(LEFT(Test_2_Makeup[[#This Row],[tanuboddys9697]], FIND(" ",Test_2_Makeup[[#This Row],[tanuboddys9697]]))),Test_2_Makeup[tanuboddys9697]),Test_2_Makeup[Score])</totalsRowFormula>
    </tableColumn>
    <tableColumn id="12" xr3:uid="{00000000-0010-0000-0000-00000C000000}" name="uppalh8095" totalsRowFunction="custom" totalsRowDxfId="1">
      <totalsRowFormula>SUMPRODUCT(IFERROR(VALUE(LEFT(Test_2_Makeup[[#This Row],[uppalh8095]], FIND(" ",Test_2_Makeup[[#This Row],[uppalh8095]]))),Test_2_Makeup[uppalh8095]),Test_2_Makeup[Score])</totalsRowFormula>
    </tableColumn>
    <tableColumn id="13" xr3:uid="{00000000-0010-0000-0000-00000D000000}" name="vemuriu6191" totalsRowFunction="custom" totalsRowDxfId="0">
      <totalsRowFormula>SUMPRODUCT(IFERROR(VALUE(LEFT(Test_2_Makeup[[#This Row],[vemuriu6191]], FIND(" ",Test_2_Makeup[[#This Row],[vemuriu6191]]))),Test_2_Makeup[vemuriu6191]),Test_2_Makeup[Score])</totalsRowFormula>
    </tableColumn>
    <tableColumn id="14" xr3:uid="{00000000-0010-0000-0000-00000E000000}" name="(MEAN)" totalsRowFunction="custom">
      <calculatedColumnFormula array="1">SUM(IFERROR(VALUE(LEFT(Test_2_Makeup[[#This Row],[bhagams4063]:[vemuriu6191]], FIND(" ",Test_2_Makeup[[#This Row],[bhagams4063]:[vemuriu6191]]))),Test_2_Makeup[[#This Row],[bhagams4063]:[vemuriu6191]]))/COUNT(Test_2_Makeup[[#This Row],[bhagams4063]:[vemuriu6191]])</calculatedColumnFormula>
      <totalsRowFormula>SUMPRODUCT(Test_2_Makeup[Score],Test_2_Makeup[(MEAN)])</totalsRowFormula>
    </tableColumn>
  </tableColumns>
  <tableStyleInfo name="TableStyleMedium2"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E5" sqref="E5"/>
    </sheetView>
  </sheetViews>
  <sheetFormatPr defaultRowHeight="15" x14ac:dyDescent="0.25"/>
  <cols>
    <col min="1" max="2" width="8" customWidth="1"/>
    <col min="3" max="3" width="50" style="1" customWidth="1"/>
  </cols>
  <sheetData>
    <row r="1" spans="1:14" x14ac:dyDescent="0.2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pans="1:14" ht="30" x14ac:dyDescent="0.25">
      <c r="A2" t="s">
        <v>14</v>
      </c>
      <c r="B2">
        <v>7</v>
      </c>
      <c r="C2" s="1" t="s">
        <v>15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0.25</v>
      </c>
      <c r="L2">
        <v>1</v>
      </c>
      <c r="M2">
        <v>1</v>
      </c>
      <c r="N2" cm="1">
        <f t="array" ref="N2">SUM(IFERROR(VALUE(LEFT(Test_2_Makeup[[#This Row],[bhagams4063]:[vemuriu6191]], FIND(" ",Test_2_Makeup[[#This Row],[bhagams4063]:[vemuriu6191]]))),Test_2_Makeup[[#This Row],[bhagams4063]:[vemuriu6191]]))/COUNT(Test_2_Makeup[[#This Row],[bhagams4063]:[vemuriu6191]])</f>
        <v>0.92500000000000004</v>
      </c>
    </row>
    <row r="3" spans="1:14" ht="45" x14ac:dyDescent="0.25">
      <c r="A3" t="s">
        <v>16</v>
      </c>
      <c r="B3">
        <v>8</v>
      </c>
      <c r="C3" s="1" t="s">
        <v>17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0.5</v>
      </c>
      <c r="L3">
        <v>1</v>
      </c>
      <c r="M3">
        <v>1</v>
      </c>
      <c r="N3" cm="1">
        <f t="array" ref="N3">SUM(IFERROR(VALUE(LEFT(Test_2_Makeup[[#This Row],[bhagams4063]:[vemuriu6191]], FIND(" ",Test_2_Makeup[[#This Row],[bhagams4063]:[vemuriu6191]]))),Test_2_Makeup[[#This Row],[bhagams4063]:[vemuriu6191]]))/COUNT(Test_2_Makeup[[#This Row],[bhagams4063]:[vemuriu6191]])</f>
        <v>0.95</v>
      </c>
    </row>
    <row r="4" spans="1:14" ht="60" x14ac:dyDescent="0.25">
      <c r="A4" t="s">
        <v>18</v>
      </c>
      <c r="B4">
        <v>10</v>
      </c>
      <c r="C4" s="1" t="s">
        <v>19</v>
      </c>
      <c r="D4">
        <v>1</v>
      </c>
      <c r="E4">
        <v>1</v>
      </c>
      <c r="F4">
        <v>1</v>
      </c>
      <c r="G4">
        <v>0.5</v>
      </c>
      <c r="H4">
        <v>1</v>
      </c>
      <c r="I4">
        <v>0.5</v>
      </c>
      <c r="J4">
        <v>0.5</v>
      </c>
      <c r="K4">
        <v>0.5</v>
      </c>
      <c r="L4">
        <v>1</v>
      </c>
      <c r="M4">
        <v>0.75</v>
      </c>
      <c r="N4" cm="1">
        <f t="array" ref="N4">SUM(IFERROR(VALUE(LEFT(Test_2_Makeup[[#This Row],[bhagams4063]:[vemuriu6191]], FIND(" ",Test_2_Makeup[[#This Row],[bhagams4063]:[vemuriu6191]]))),Test_2_Makeup[[#This Row],[bhagams4063]:[vemuriu6191]]))/COUNT(Test_2_Makeup[[#This Row],[bhagams4063]:[vemuriu6191]])</f>
        <v>0.77500000000000002</v>
      </c>
    </row>
    <row r="5" spans="1:14" ht="45" x14ac:dyDescent="0.25">
      <c r="A5" t="s">
        <v>20</v>
      </c>
      <c r="B5">
        <v>10</v>
      </c>
      <c r="C5" s="1" t="s">
        <v>21</v>
      </c>
      <c r="D5">
        <v>0</v>
      </c>
      <c r="E5">
        <v>0</v>
      </c>
      <c r="F5">
        <v>1</v>
      </c>
      <c r="G5">
        <v>1</v>
      </c>
      <c r="H5">
        <v>1</v>
      </c>
      <c r="I5">
        <v>0.5</v>
      </c>
      <c r="J5">
        <v>0.25</v>
      </c>
      <c r="K5">
        <v>0</v>
      </c>
      <c r="L5">
        <v>1</v>
      </c>
      <c r="M5">
        <v>1</v>
      </c>
      <c r="N5" cm="1">
        <f t="array" ref="N5">SUM(IFERROR(VALUE(LEFT(Test_2_Makeup[[#This Row],[bhagams4063]:[vemuriu6191]], FIND(" ",Test_2_Makeup[[#This Row],[bhagams4063]:[vemuriu6191]]))),Test_2_Makeup[[#This Row],[bhagams4063]:[vemuriu6191]]))/COUNT(Test_2_Makeup[[#This Row],[bhagams4063]:[vemuriu6191]])</f>
        <v>0.57499999999999996</v>
      </c>
    </row>
    <row r="6" spans="1:14" x14ac:dyDescent="0.25">
      <c r="A6" t="s">
        <v>22</v>
      </c>
      <c r="B6">
        <v>10</v>
      </c>
      <c r="C6" s="1" t="s">
        <v>23</v>
      </c>
      <c r="D6">
        <v>1</v>
      </c>
      <c r="E6">
        <v>0</v>
      </c>
      <c r="F6">
        <v>0.75</v>
      </c>
      <c r="G6">
        <v>0.5</v>
      </c>
      <c r="H6">
        <v>0.5</v>
      </c>
      <c r="I6">
        <v>0.5</v>
      </c>
      <c r="J6">
        <v>0.25</v>
      </c>
      <c r="K6">
        <v>0</v>
      </c>
      <c r="L6">
        <v>0.75</v>
      </c>
      <c r="M6">
        <v>0.75</v>
      </c>
      <c r="N6" cm="1">
        <f t="array" ref="N6">SUM(IFERROR(VALUE(LEFT(Test_2_Makeup[[#This Row],[bhagams4063]:[vemuriu6191]], FIND(" ",Test_2_Makeup[[#This Row],[bhagams4063]:[vemuriu6191]]))),Test_2_Makeup[[#This Row],[bhagams4063]:[vemuriu6191]]))/COUNT(Test_2_Makeup[[#This Row],[bhagams4063]:[vemuriu6191]])</f>
        <v>0.5</v>
      </c>
    </row>
    <row r="7" spans="1:14" x14ac:dyDescent="0.25">
      <c r="A7" t="s">
        <v>24</v>
      </c>
      <c r="B7">
        <v>5</v>
      </c>
      <c r="C7" s="1" t="s">
        <v>25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 cm="1">
        <f t="array" ref="N7">SUM(IFERROR(VALUE(LEFT(Test_2_Makeup[[#This Row],[bhagams4063]:[vemuriu6191]], FIND(" ",Test_2_Makeup[[#This Row],[bhagams4063]:[vemuriu6191]]))),Test_2_Makeup[[#This Row],[bhagams4063]:[vemuriu6191]]))/COUNT(Test_2_Makeup[[#This Row],[bhagams4063]:[vemuriu6191]])</f>
        <v>0.6</v>
      </c>
    </row>
    <row r="8" spans="1:14" x14ac:dyDescent="0.25">
      <c r="A8" t="s">
        <v>26</v>
      </c>
      <c r="B8">
        <f>SUBTOTAL(109,Test_2_Makeup[Score])</f>
        <v>50</v>
      </c>
      <c r="C8" s="1">
        <f>SUBTOTAL(103,Test_2_Makeup[Description])</f>
        <v>6</v>
      </c>
      <c r="D8" s="2">
        <f>SUMPRODUCT(IFERROR(VALUE(LEFT(Test_2_Makeup[[#This Row],[bhagams4063]], FIND(" ",Test_2_Makeup[[#This Row],[bhagams4063]]))),Test_2_Makeup[bhagams4063]),Test_2_Makeup[Score])</f>
        <v>40</v>
      </c>
      <c r="E8" s="2">
        <f>SUMPRODUCT(IFERROR(VALUE(LEFT(Test_2_Makeup[[#This Row],[dahiyav6175]], FIND(" ",Test_2_Makeup[[#This Row],[dahiyav6175]]))),Test_2_Makeup[dahiyav6175]),Test_2_Makeup[Score])</f>
        <v>25</v>
      </c>
      <c r="F8" s="2">
        <f>SUMPRODUCT(IFERROR(VALUE(LEFT(Test_2_Makeup[[#This Row],[janumalas4078]], FIND(" ",Test_2_Makeup[[#This Row],[janumalas4078]]))),Test_2_Makeup[janumalas4078]),Test_2_Makeup[Score])</f>
        <v>47.5</v>
      </c>
      <c r="G8" s="2">
        <f>SUMPRODUCT(IFERROR(VALUE(LEFT(Test_2_Makeup[[#This Row],[karuturim2445]], FIND(" ",Test_2_Makeup[[#This Row],[karuturim2445]]))),Test_2_Makeup[karuturim2445]),Test_2_Makeup[Score])</f>
        <v>40</v>
      </c>
      <c r="H8" s="2">
        <f>SUMPRODUCT(IFERROR(VALUE(LEFT(Test_2_Makeup[[#This Row],[sirasanambeth2444]], FIND(" ",Test_2_Makeup[[#This Row],[sirasanambeth2444]]))),Test_2_Makeup[sirasanambeth2444]),Test_2_Makeup[Score])</f>
        <v>45</v>
      </c>
      <c r="I8" s="2">
        <f>SUMPRODUCT(IFERROR(VALUE(LEFT(Test_2_Makeup[[#This Row],[somepallik7697]], FIND(" ",Test_2_Makeup[[#This Row],[somepallik7697]]))),Test_2_Makeup[somepallik7697]),Test_2_Makeup[Score])</f>
        <v>30</v>
      </c>
      <c r="J8" s="2">
        <f>SUMPRODUCT(IFERROR(VALUE(LEFT(Test_2_Makeup[[#This Row],[sotomayorj1594]], FIND(" ",Test_2_Makeup[[#This Row],[sotomayorj1594]]))),Test_2_Makeup[sotomayorj1594]),Test_2_Makeup[Score])</f>
        <v>25</v>
      </c>
      <c r="K8" s="2">
        <f>SUMPRODUCT(IFERROR(VALUE(LEFT(Test_2_Makeup[[#This Row],[tanuboddys9697]], FIND(" ",Test_2_Makeup[[#This Row],[tanuboddys9697]]))),Test_2_Makeup[tanuboddys9697]),Test_2_Makeup[Score])</f>
        <v>10.75</v>
      </c>
      <c r="L8" s="2">
        <f>SUMPRODUCT(IFERROR(VALUE(LEFT(Test_2_Makeup[[#This Row],[uppalh8095]], FIND(" ",Test_2_Makeup[[#This Row],[uppalh8095]]))),Test_2_Makeup[uppalh8095]),Test_2_Makeup[Score])</f>
        <v>47.5</v>
      </c>
      <c r="M8" s="2">
        <f>SUMPRODUCT(IFERROR(VALUE(LEFT(Test_2_Makeup[[#This Row],[vemuriu6191]], FIND(" ",Test_2_Makeup[[#This Row],[vemuriu6191]]))),Test_2_Makeup[vemuriu6191]),Test_2_Makeup[Score])</f>
        <v>45</v>
      </c>
      <c r="N8">
        <f>SUMPRODUCT(Test_2_Makeup[Score],Test_2_Makeup[(MEAN)])</f>
        <v>35.575000000000003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573B7C3B5850438E0927002E0772CF" ma:contentTypeVersion="4" ma:contentTypeDescription="Create a new document." ma:contentTypeScope="" ma:versionID="6d48eae3a268c5cace72f7336b464f30">
  <xsd:schema xmlns:xsd="http://www.w3.org/2001/XMLSchema" xmlns:xs="http://www.w3.org/2001/XMLSchema" xmlns:p="http://schemas.microsoft.com/office/2006/metadata/properties" xmlns:ns2="347c1e00-d0ed-47e9-a38b-bef06117a4c8" targetNamespace="http://schemas.microsoft.com/office/2006/metadata/properties" ma:root="true" ma:fieldsID="1da971900fecc6f6ee19b2784d874910" ns2:_="">
    <xsd:import namespace="347c1e00-d0ed-47e9-a38b-bef06117a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1e00-d0ed-47e9-a38b-bef06117a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1FD722-16B4-4974-B567-2D4D6DFC2B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1C7896-F077-49C1-A99B-CDA3E11062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EA8687-DBFA-4C15-B736-DE12A9E69F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c1e00-d0ed-47e9-a38b-bef06117a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2 Makeup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2024-04-12T16:49:03Z</dcterms:created>
  <dcterms:modified xsi:type="dcterms:W3CDTF">2024-04-17T23:51:27Z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0x01010077573B7C3B5850438E0927002E0772CF</vt:lpwstr>
  </property>
</Properties>
</file>